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안내" sheetId="1" r:id="rId5"/>
    <sheet state="visible" name="프로젝트 안내" sheetId="2" r:id="rId6"/>
    <sheet state="visible" name="제출현황" sheetId="3" r:id="rId7"/>
    <sheet state="visible" name="대시보드" sheetId="4" r:id="rId8"/>
  </sheets>
  <definedNames/>
  <calcPr/>
</workbook>
</file>

<file path=xl/sharedStrings.xml><?xml version="1.0" encoding="utf-8"?>
<sst xmlns="http://schemas.openxmlformats.org/spreadsheetml/2006/main" count="628" uniqueCount="242">
  <si>
    <r>
      <rPr>
        <rFont val="Noto Sans"/>
        <b/>
        <color rgb="FF1F3864"/>
        <sz val="16.0"/>
      </rPr>
      <t xml:space="preserve">AI </t>
    </r>
    <r>
      <rPr>
        <rFont val="Noto Sans CJK SC"/>
        <b/>
        <color rgb="FF1F3864"/>
        <sz val="16.0"/>
      </rPr>
      <t>애플리케이션 개발자 과정 — 단위 프로젝트 산출물 관리</t>
    </r>
  </si>
  <si>
    <t>교과목</t>
  </si>
  <si>
    <r>
      <rPr>
        <rFont val="Arial"/>
        <color rgb="FF808080"/>
        <sz val="10.0"/>
      </rPr>
      <t>AI</t>
    </r>
    <r>
      <rPr>
        <rFont val="Noto Sans CJK SC"/>
        <color rgb="FF808080"/>
        <sz val="10.0"/>
      </rPr>
      <t xml:space="preserve">캠퍼스 </t>
    </r>
    <r>
      <rPr>
        <rFont val="Arial"/>
        <color rgb="FF808080"/>
        <sz val="10.0"/>
      </rPr>
      <t xml:space="preserve">| </t>
    </r>
    <r>
      <rPr>
        <rFont val="Noto Sans CJK SC"/>
        <color rgb="FF808080"/>
        <sz val="10.0"/>
      </rPr>
      <t xml:space="preserve">교과목별 팀 배정 </t>
    </r>
    <r>
      <rPr>
        <rFont val="Arial"/>
        <color rgb="FF808080"/>
        <sz val="10.0"/>
      </rPr>
      <t xml:space="preserve">· </t>
    </r>
    <r>
      <rPr>
        <rFont val="Noto Sans CJK SC"/>
        <color rgb="FF808080"/>
        <sz val="10.0"/>
      </rPr>
      <t>제출 현황 관리 워크북</t>
    </r>
  </si>
  <si>
    <t>프로젝트 주제</t>
  </si>
  <si>
    <t>제출 현황 대시보드</t>
  </si>
  <si>
    <t>세부 수행내용</t>
  </si>
  <si>
    <t>■ 이 파일 구성</t>
  </si>
  <si>
    <t>팀명</t>
  </si>
  <si>
    <t>산출물 코드</t>
  </si>
  <si>
    <t>주요 산출물</t>
  </si>
  <si>
    <t>관련 평가 기준</t>
  </si>
  <si>
    <r>
      <rPr>
        <rFont val="Arial"/>
        <color rgb="FF808080"/>
        <sz val="9.0"/>
      </rPr>
      <t>[</t>
    </r>
    <r>
      <rPr>
        <rFont val="Noto Sans CJK SC"/>
        <color rgb="FF808080"/>
        <sz val="9.0"/>
      </rPr>
      <t>제출현황</t>
    </r>
    <r>
      <rPr>
        <rFont val="Arial"/>
        <color rgb="FF808080"/>
        <sz val="9.0"/>
      </rPr>
      <t>]</t>
    </r>
    <r>
      <rPr>
        <rFont val="Noto Sans CJK SC"/>
        <color rgb="FF808080"/>
        <sz val="9.0"/>
      </rPr>
      <t>을 교과목별로 자동 집계합니다</t>
    </r>
    <r>
      <rPr>
        <rFont val="Arial"/>
        <color rgb="FF808080"/>
        <sz val="9.0"/>
      </rPr>
      <t xml:space="preserve">. </t>
    </r>
    <r>
      <rPr>
        <rFont val="Noto Sans CJK SC"/>
        <color rgb="FF808080"/>
        <sz val="9.0"/>
      </rPr>
      <t>이 시트는 직접 수정하지 마세요</t>
    </r>
    <r>
      <rPr>
        <rFont val="Arial"/>
        <color rgb="FF808080"/>
        <sz val="9.0"/>
      </rPr>
      <t>.</t>
    </r>
  </si>
  <si>
    <t>① 사용안내</t>
  </si>
  <si>
    <r>
      <rPr>
        <rFont val="Noto Sans CJK SC"/>
        <b/>
        <color rgb="FF1F3864"/>
        <sz val="11.0"/>
      </rPr>
      <t xml:space="preserve">교과목 </t>
    </r>
    <r>
      <rPr>
        <rFont val="Noto Sans"/>
        <b/>
        <color rgb="FF1F3864"/>
        <sz val="11.0"/>
      </rPr>
      <t xml:space="preserve">1
</t>
    </r>
    <r>
      <rPr>
        <rFont val="Noto Sans CJK SC"/>
        <b/>
        <color rgb="FF1F3864"/>
        <sz val="11.0"/>
      </rPr>
      <t xml:space="preserve">웹 서비스 기초 및 </t>
    </r>
    <r>
      <rPr>
        <rFont val="Noto Sans"/>
        <b/>
        <color rgb="FF1F3864"/>
        <sz val="11.0"/>
      </rPr>
      <t xml:space="preserve">AI </t>
    </r>
    <r>
      <rPr>
        <rFont val="Noto Sans CJK SC"/>
        <b/>
        <color rgb="FF1F3864"/>
        <sz val="11.0"/>
      </rPr>
      <t>백엔드 개발</t>
    </r>
  </si>
  <si>
    <t>제출 링크</t>
  </si>
  <si>
    <t>제출 상태</t>
  </si>
  <si>
    <t>제출일</t>
  </si>
  <si>
    <r>
      <rPr>
        <rFont val="Noto Sans CJK SC"/>
        <color rgb="FF000000"/>
        <sz val="10.0"/>
      </rPr>
      <t>지금 이 시트입니다</t>
    </r>
    <r>
      <rPr>
        <rFont val="Noto Sans"/>
        <color rgb="FF000000"/>
        <sz val="10.0"/>
      </rPr>
      <t xml:space="preserve">. </t>
    </r>
    <r>
      <rPr>
        <rFont val="Noto Sans CJK SC"/>
        <color rgb="FF000000"/>
        <sz val="10.0"/>
      </rPr>
      <t>시트 구성과 사용 방법</t>
    </r>
    <r>
      <rPr>
        <rFont val="Noto Sans"/>
        <color rgb="FF000000"/>
        <sz val="10.0"/>
      </rPr>
      <t xml:space="preserve">, </t>
    </r>
    <r>
      <rPr>
        <rFont val="Noto Sans CJK SC"/>
        <color rgb="FF000000"/>
        <sz val="10.0"/>
      </rPr>
      <t>상태 값의 의미를 안내합니다</t>
    </r>
    <r>
      <rPr>
        <rFont val="Noto Sans"/>
        <color rgb="FF000000"/>
        <sz val="10.0"/>
      </rPr>
      <t>.</t>
    </r>
  </si>
  <si>
    <t>검토 상태</t>
  </si>
  <si>
    <t>운영자 피드백</t>
  </si>
  <si>
    <t>② 프로젝트 안내</t>
  </si>
  <si>
    <t>_key</t>
  </si>
  <si>
    <r>
      <rPr>
        <rFont val="Noto Sans"/>
        <color rgb="FF000000"/>
        <sz val="10.0"/>
      </rPr>
      <t xml:space="preserve"> </t>
    </r>
    <r>
      <rPr>
        <rFont val="맑은 고딕"/>
        <color rgb="FF000000"/>
        <sz val="10.0"/>
      </rPr>
      <t>실시간</t>
    </r>
    <r>
      <rPr>
        <rFont val="Noto Sans"/>
        <color rgb="FF000000"/>
        <sz val="10.0"/>
      </rPr>
      <t xml:space="preserve"> </t>
    </r>
    <r>
      <rPr>
        <rFont val="맑은 고딕"/>
        <color rgb="FF000000"/>
        <sz val="10.0"/>
      </rPr>
      <t>로그</t>
    </r>
    <r>
      <rPr>
        <rFont val="Noto Sans"/>
        <color rgb="FF000000"/>
        <sz val="10.0"/>
      </rPr>
      <t xml:space="preserve"> </t>
    </r>
    <r>
      <rPr>
        <rFont val="맑은 고딕"/>
        <color rgb="FF000000"/>
        <sz val="10.0"/>
      </rPr>
      <t>대시보드</t>
    </r>
    <r>
      <rPr>
        <rFont val="Noto Sans"/>
        <color rgb="FF000000"/>
        <sz val="10.0"/>
      </rPr>
      <t xml:space="preserve"> </t>
    </r>
    <r>
      <rPr>
        <rFont val="맑은 고딕"/>
        <color rgb="FF000000"/>
        <sz val="10.0"/>
      </rPr>
      <t>인터페이스</t>
    </r>
  </si>
  <si>
    <r>
      <rPr>
        <rFont val="Arial"/>
        <color rgb="FF000000"/>
        <sz val="10.0"/>
      </rPr>
      <t>4</t>
    </r>
    <r>
      <rPr>
        <rFont val="Noto Sans CJK SC"/>
        <color rgb="FF000000"/>
        <sz val="10.0"/>
      </rPr>
      <t>개 교과목의 프로젝트 주제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세부 수행내용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주요 산출물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평가 기준 전체를 정리했습니다</t>
    </r>
    <r>
      <rPr>
        <rFont val="Arial"/>
        <color rgb="FF000000"/>
        <sz val="10.0"/>
      </rPr>
      <t xml:space="preserve">. </t>
    </r>
    <r>
      <rPr>
        <rFont val="Noto Sans CJK SC"/>
        <color rgb="FF000000"/>
        <sz val="10.0"/>
      </rPr>
      <t>참여자 안내용으로 사용하세요</t>
    </r>
    <r>
      <rPr>
        <rFont val="Arial"/>
        <color rgb="FF000000"/>
        <sz val="10.0"/>
      </rPr>
      <t>.</t>
    </r>
  </si>
  <si>
    <r>
      <rPr>
        <rFont val="Noto Sans CJK SC"/>
        <b/>
        <color rgb="FFFFFFFF"/>
        <sz val="12.0"/>
      </rPr>
      <t xml:space="preserve">교과목 </t>
    </r>
    <r>
      <rPr>
        <rFont val="Noto Sans"/>
        <b/>
        <color rgb="FFFFFFFF"/>
        <sz val="12.0"/>
      </rPr>
      <t xml:space="preserve">1 — AI </t>
    </r>
    <r>
      <rPr>
        <rFont val="Noto Sans CJK SC"/>
        <b/>
        <color rgb="FFFFFFFF"/>
        <sz val="12.0"/>
      </rPr>
      <t>서비스 로그 분석 및 운영 대시보드 구축</t>
    </r>
  </si>
  <si>
    <r>
      <rPr>
        <rFont val="Noto Sans CJK SC"/>
        <b/>
        <color rgb="FFFFFFFF"/>
        <sz val="11.0"/>
      </rPr>
      <t xml:space="preserve">■ 교과목 </t>
    </r>
    <r>
      <rPr>
        <rFont val="Noto Sans"/>
        <b/>
        <color rgb="FFFFFFFF"/>
        <sz val="11.0"/>
      </rPr>
      <t xml:space="preserve">1  |  </t>
    </r>
    <r>
      <rPr>
        <rFont val="Noto Sans CJK SC"/>
        <b/>
        <color rgb="FFFFFFFF"/>
        <sz val="11.0"/>
      </rPr>
      <t xml:space="preserve">웹 서비스 기초 및 </t>
    </r>
    <r>
      <rPr>
        <rFont val="Noto Sans"/>
        <b/>
        <color rgb="FFFFFFFF"/>
        <sz val="11.0"/>
      </rPr>
      <t xml:space="preserve">AI </t>
    </r>
    <r>
      <rPr>
        <rFont val="Noto Sans CJK SC"/>
        <b/>
        <color rgb="FFFFFFFF"/>
        <sz val="11.0"/>
      </rPr>
      <t xml:space="preserve">백엔드 개발  —  </t>
    </r>
    <r>
      <rPr>
        <rFont val="Noto Sans"/>
        <b/>
        <color rgb="FFFFFFFF"/>
        <sz val="11.0"/>
      </rPr>
      <t xml:space="preserve">AI </t>
    </r>
    <r>
      <rPr>
        <rFont val="Noto Sans CJK SC"/>
        <b/>
        <color rgb="FFFFFFFF"/>
        <sz val="11.0"/>
      </rPr>
      <t>서비스 로그 분석 및 운영 대시보드 구축</t>
    </r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</si>
  <si>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백엔드</t>
    </r>
    <r>
      <rPr>
        <rFont val="Arial"/>
        <color rgb="FF000000"/>
        <sz val="10.0"/>
      </rPr>
      <t xml:space="preserve">·DB·UI </t>
    </r>
    <r>
      <rPr>
        <rFont val="Noto Sans CJK SC"/>
        <color rgb="FF000000"/>
        <sz val="10.0"/>
      </rPr>
      <t xml:space="preserve">통합 아키텍처 구현 및 배포 실습
</t>
    </r>
    <r>
      <rPr>
        <rFont val="Arial"/>
        <color rgb="FF000000"/>
        <sz val="10.0"/>
      </rPr>
      <t xml:space="preserve">2. </t>
    </r>
    <r>
      <rPr>
        <rFont val="Noto Sans CJK SC"/>
        <color rgb="FF000000"/>
        <sz val="10.0"/>
      </rPr>
      <t xml:space="preserve">실시간 데이터 스트리밍을 통한 로그 시각화 대시보드 최종 제작
</t>
    </r>
    <r>
      <rPr>
        <rFont val="Arial"/>
        <color rgb="FF000000"/>
        <sz val="10.0"/>
      </rPr>
      <t xml:space="preserve">3. </t>
    </r>
    <r>
      <rPr>
        <rFont val="Noto Sans CJK SC"/>
        <color rgb="FF000000"/>
        <sz val="10.0"/>
      </rPr>
      <t xml:space="preserve">사용자 피드백 데이터를 반영한 </t>
    </r>
    <r>
      <rPr>
        <rFont val="Arial"/>
        <color rgb="FF000000"/>
        <sz val="10.0"/>
      </rPr>
      <t xml:space="preserve">AI </t>
    </r>
    <r>
      <rPr>
        <rFont val="Noto Sans CJK SC"/>
        <color rgb="FF000000"/>
        <sz val="10.0"/>
      </rPr>
      <t>답변 품질 고도화 및 서비스 최적화</t>
    </r>
  </si>
  <si>
    <t>P1-1</t>
  </si>
  <si>
    <t>③ 제출현황</t>
  </si>
  <si>
    <t>예시팀명
(팀원 이름)</t>
  </si>
  <si>
    <r>
      <rPr>
        <rFont val="Noto Sans CJK SC"/>
        <color rgb="FF000000"/>
        <sz val="10.0"/>
      </rPr>
      <t>실제 관리 시트입니다</t>
    </r>
    <r>
      <rPr>
        <rFont val="Noto Sans"/>
        <color rgb="FF000000"/>
        <sz val="10.0"/>
      </rPr>
      <t xml:space="preserve">. </t>
    </r>
    <r>
      <rPr>
        <rFont val="Noto Sans CJK SC"/>
        <color rgb="FF000000"/>
        <sz val="10.0"/>
      </rPr>
      <t>교과목별로 팀을 따로 배정하고</t>
    </r>
    <r>
      <rPr>
        <rFont val="Noto Sans"/>
        <color rgb="FF000000"/>
        <sz val="10.0"/>
      </rPr>
      <t xml:space="preserve">, </t>
    </r>
    <r>
      <rPr>
        <rFont val="Noto Sans CJK SC"/>
        <color rgb="FF000000"/>
        <sz val="10.0"/>
      </rPr>
      <t>팀</t>
    </r>
    <r>
      <rPr>
        <rFont val="Noto Sans"/>
        <color rgb="FF000000"/>
        <sz val="10.0"/>
      </rPr>
      <t>×</t>
    </r>
    <r>
      <rPr>
        <rFont val="Noto Sans CJK SC"/>
        <color rgb="FF000000"/>
        <sz val="10.0"/>
      </rPr>
      <t>산출물의 제출 링크</t>
    </r>
    <r>
      <rPr>
        <rFont val="Noto Sans"/>
        <color rgb="FF000000"/>
        <sz val="10.0"/>
      </rPr>
      <t>·</t>
    </r>
    <r>
      <rPr>
        <rFont val="Noto Sans CJK SC"/>
        <color rgb="FF000000"/>
        <sz val="10.0"/>
      </rPr>
      <t>상태</t>
    </r>
    <r>
      <rPr>
        <rFont val="Noto Sans"/>
        <color rgb="FF000000"/>
        <sz val="10.0"/>
      </rPr>
      <t>·</t>
    </r>
    <r>
      <rPr>
        <rFont val="Noto Sans CJK SC"/>
        <color rgb="FF000000"/>
        <sz val="10.0"/>
      </rPr>
      <t>검토 결과를 기록합니다</t>
    </r>
    <r>
      <rPr>
        <rFont val="Noto Sans"/>
        <color rgb="FF000000"/>
        <sz val="10.0"/>
      </rPr>
      <t>.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</si>
  <si>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</si>
  <si>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t>④ 대시보드</t>
  </si>
  <si>
    <r>
      <rPr>
        <rFont val="Noto Sans CJK SC"/>
        <b/>
        <color rgb="FFFFFFFF"/>
        <sz val="10.0"/>
      </rPr>
      <t xml:space="preserve">팀명 </t>
    </r>
    <r>
      <rPr>
        <rFont val="Noto Sans"/>
        <b/>
        <color rgb="FFFFFFFF"/>
        <sz val="10.0"/>
      </rPr>
      <t xml:space="preserve">\ </t>
    </r>
    <r>
      <rPr>
        <rFont val="Noto Sans CJK SC"/>
        <b/>
        <color rgb="FFFFFFFF"/>
        <sz val="10.0"/>
      </rPr>
      <t>산출물</t>
    </r>
  </si>
  <si>
    <r>
      <rPr>
        <rFont val="Noto Sans CJK SC"/>
        <color rgb="FF000000"/>
        <sz val="10.0"/>
      </rPr>
      <t>제출현황을 자동 집계합니다</t>
    </r>
    <r>
      <rPr>
        <rFont val="Noto Sans"/>
        <color rgb="FF000000"/>
        <sz val="10.0"/>
      </rPr>
      <t xml:space="preserve">. </t>
    </r>
    <r>
      <rPr>
        <rFont val="Noto Sans CJK SC"/>
        <color rgb="FF000000"/>
        <sz val="10.0"/>
      </rPr>
      <t>교과목별 팀</t>
    </r>
    <r>
      <rPr>
        <rFont val="Noto Sans"/>
        <color rgb="FF000000"/>
        <sz val="10.0"/>
      </rPr>
      <t>×</t>
    </r>
    <r>
      <rPr>
        <rFont val="Noto Sans CJK SC"/>
        <color rgb="FF000000"/>
        <sz val="10.0"/>
      </rPr>
      <t>산출물 제출 상태와 완료율을 한눈에 확인합니다</t>
    </r>
    <r>
      <rPr>
        <rFont val="Noto Sans"/>
        <color rgb="FF000000"/>
        <sz val="10.0"/>
      </rPr>
      <t>. (</t>
    </r>
    <r>
      <rPr>
        <rFont val="Noto Sans CJK SC"/>
        <color rgb="FF000000"/>
        <sz val="10.0"/>
      </rPr>
      <t>직접 입력 금지</t>
    </r>
    <r>
      <rPr>
        <rFont val="Noto Sans"/>
        <color rgb="FF000000"/>
        <sz val="10.0"/>
      </rPr>
      <t>)</t>
    </r>
  </si>
  <si>
    <t>■ 교과목별 팀 배정</t>
  </si>
  <si>
    <t>핵심</t>
  </si>
  <si>
    <r>
      <rPr>
        <rFont val="Noto Sans CJK SC"/>
        <color rgb="FF000000"/>
        <sz val="10.0"/>
      </rPr>
      <t>교과목이 끝날 때마다 팀이 바뀔 수 있으므로</t>
    </r>
    <r>
      <rPr>
        <rFont val="Noto Sans"/>
        <color rgb="FF000000"/>
        <sz val="10.0"/>
      </rPr>
      <t xml:space="preserve">, </t>
    </r>
    <r>
      <rPr>
        <rFont val="Noto Sans CJK SC"/>
        <color rgb="FF000000"/>
        <sz val="10.0"/>
      </rPr>
      <t>팀은 교과목 단위로 따로 배정합니다</t>
    </r>
    <r>
      <rPr>
        <rFont val="Noto Sans"/>
        <color rgb="FF000000"/>
        <sz val="10.0"/>
      </rPr>
      <t>.</t>
    </r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</si>
  <si>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 xml:space="preserve">엔드포인트 </t>
    </r>
    <r>
      <rPr>
        <rFont val="Arial"/>
        <color rgb="FF000000"/>
        <sz val="10.0"/>
      </rPr>
      <t>URL</t>
    </r>
    <r>
      <rPr>
        <rFont val="Noto Sans CJK SC"/>
        <color rgb="FF000000"/>
        <sz val="10.0"/>
      </rPr>
      <t>이 리소스 중심으로 일관되게 명명되고</t>
    </r>
    <r>
      <rPr>
        <rFont val="Arial"/>
        <color rgb="FF000000"/>
        <sz val="10.0"/>
      </rPr>
      <t>, HTTP Method(GET/POST/PUT/DELETE)</t>
    </r>
    <r>
      <rPr>
        <rFont val="Noto Sans CJK SC"/>
        <color rgb="FF000000"/>
        <sz val="10.0"/>
      </rPr>
      <t>가 의미에 맞게 사용되었는가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표준화된 에러 응답 포맷</t>
    </r>
    <r>
      <rPr>
        <rFont val="Arial"/>
        <color rgb="FF000000"/>
        <sz val="10.0"/>
      </rPr>
      <t>(HTTP Status Code+</t>
    </r>
    <r>
      <rPr>
        <rFont val="Noto Sans CJK SC"/>
        <color rgb="FF000000"/>
        <sz val="10.0"/>
      </rPr>
      <t>에러 코드</t>
    </r>
    <r>
      <rPr>
        <rFont val="Arial"/>
        <color rgb="FF000000"/>
        <sz val="10.0"/>
      </rPr>
      <t>+</t>
    </r>
    <r>
      <rPr>
        <rFont val="Noto Sans CJK SC"/>
        <color rgb="FF000000"/>
        <sz val="10.0"/>
      </rPr>
      <t>메시지</t>
    </r>
    <r>
      <rPr>
        <rFont val="Arial"/>
        <color rgb="FF000000"/>
        <sz val="10.0"/>
      </rPr>
      <t>+</t>
    </r>
    <r>
      <rPr>
        <rFont val="Noto Sans CJK SC"/>
        <color rgb="FF000000"/>
        <sz val="10.0"/>
      </rPr>
      <t>상세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이 정의되고</t>
    </r>
    <r>
      <rPr>
        <rFont val="Arial"/>
        <color rgb="FF000000"/>
        <sz val="10.0"/>
      </rPr>
      <t xml:space="preserve">, 4xx/5xx </t>
    </r>
    <r>
      <rPr>
        <rFont val="Noto Sans CJK SC"/>
        <color rgb="FF000000"/>
        <sz val="10.0"/>
      </rPr>
      <t>예외 처리 규칙이 문서화되었는가</t>
    </r>
    <r>
      <rPr>
        <rFont val="Arial"/>
        <color rgb="FF000000"/>
        <sz val="10.0"/>
      </rPr>
      <t xml:space="preserve">?
3. Request/Response Pydantic </t>
    </r>
    <r>
      <rPr>
        <rFont val="Noto Sans CJK SC"/>
        <color rgb="FF000000"/>
        <sz val="10.0"/>
      </rPr>
      <t>모델이 필수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선택 필드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타입 힌트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예시값</t>
    </r>
    <r>
      <rPr>
        <rFont val="Arial"/>
        <color rgb="FF000000"/>
        <sz val="10.0"/>
      </rPr>
      <t>(example)</t>
    </r>
    <r>
      <rPr>
        <rFont val="Noto Sans CJK SC"/>
        <color rgb="FF000000"/>
        <sz val="10.0"/>
      </rPr>
      <t>을 명확히 정의하고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중첩 </t>
    </r>
    <r>
      <rPr>
        <rFont val="Arial"/>
        <color rgb="FF000000"/>
        <sz val="10.0"/>
      </rPr>
      <t>JSON</t>
    </r>
    <r>
      <rPr>
        <rFont val="Noto Sans CJK SC"/>
        <color rgb="FF000000"/>
        <sz val="10.0"/>
      </rPr>
      <t xml:space="preserve">은 </t>
    </r>
    <r>
      <rPr>
        <rFont val="Arial"/>
        <color rgb="FF000000"/>
        <sz val="10.0"/>
      </rPr>
      <t xml:space="preserve">nested </t>
    </r>
    <r>
      <rPr>
        <rFont val="Noto Sans CJK SC"/>
        <color rgb="FF000000"/>
        <sz val="10.0"/>
      </rPr>
      <t>모델로 표현되는가</t>
    </r>
    <r>
      <rPr>
        <rFont val="Arial"/>
        <color rgb="FF000000"/>
        <sz val="10.0"/>
      </rPr>
      <t>?</t>
    </r>
  </si>
  <si>
    <t>구조</t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</si>
  <si>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</si>
  <si>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t>P1-2</t>
  </si>
  <si>
    <t>P1-3</t>
  </si>
  <si>
    <r>
      <rPr>
        <rFont val="Arial"/>
        <color rgb="FF000000"/>
        <sz val="10.0"/>
      </rPr>
      <t>[</t>
    </r>
    <r>
      <rPr>
        <rFont val="Noto Sans CJK SC"/>
        <color rgb="FF000000"/>
        <sz val="10.0"/>
      </rPr>
      <t>제출현황</t>
    </r>
    <r>
      <rPr>
        <rFont val="Arial"/>
        <color rgb="FF000000"/>
        <sz val="10.0"/>
      </rPr>
      <t>]</t>
    </r>
    <r>
      <rPr>
        <rFont val="Noto Sans CJK SC"/>
        <color rgb="FF000000"/>
        <sz val="10.0"/>
      </rPr>
      <t>은 교과목</t>
    </r>
    <r>
      <rPr>
        <rFont val="Arial"/>
        <color rgb="FF000000"/>
        <sz val="10.0"/>
      </rPr>
      <t xml:space="preserve">1 / </t>
    </r>
    <r>
      <rPr>
        <rFont val="Noto Sans CJK SC"/>
        <color rgb="FF000000"/>
        <sz val="10.0"/>
      </rPr>
      <t>교과목</t>
    </r>
    <r>
      <rPr>
        <rFont val="Arial"/>
        <color rgb="FF000000"/>
        <sz val="10.0"/>
      </rPr>
      <t xml:space="preserve">2 / </t>
    </r>
    <r>
      <rPr>
        <rFont val="Noto Sans CJK SC"/>
        <color rgb="FF000000"/>
        <sz val="10.0"/>
      </rPr>
      <t>교과목</t>
    </r>
    <r>
      <rPr>
        <rFont val="Arial"/>
        <color rgb="FF000000"/>
        <sz val="10.0"/>
      </rPr>
      <t xml:space="preserve">3 / </t>
    </r>
    <r>
      <rPr>
        <rFont val="Noto Sans CJK SC"/>
        <color rgb="FF000000"/>
        <sz val="10.0"/>
      </rPr>
      <t>교과목</t>
    </r>
    <r>
      <rPr>
        <rFont val="Arial"/>
        <color rgb="FF000000"/>
        <sz val="10.0"/>
      </rPr>
      <t xml:space="preserve">4 </t>
    </r>
    <r>
      <rPr>
        <rFont val="Noto Sans CJK SC"/>
        <color rgb="FF000000"/>
        <sz val="10.0"/>
      </rPr>
      <t>네 구역으로 나뉘고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각 구역마다 팀명을 독립적으로 입력합니다</t>
    </r>
    <r>
      <rPr>
        <rFont val="Arial"/>
        <color rgb="FF000000"/>
        <sz val="10.0"/>
      </rPr>
      <t>.</t>
    </r>
  </si>
  <si>
    <t>P1-4</t>
  </si>
  <si>
    <t>예</t>
  </si>
  <si>
    <t>완료</t>
  </si>
  <si>
    <t>완료율</t>
  </si>
  <si>
    <r>
      <rPr>
        <rFont val="Noto Sans CJK SC"/>
        <color rgb="FF000000"/>
        <sz val="10.0"/>
      </rPr>
      <t>교과목</t>
    </r>
    <r>
      <rPr>
        <rFont val="Noto Sans"/>
        <color rgb="FF000000"/>
        <sz val="10.0"/>
      </rPr>
      <t>1</t>
    </r>
    <r>
      <rPr>
        <rFont val="Noto Sans CJK SC"/>
        <color rgb="FF000000"/>
        <sz val="10.0"/>
      </rPr>
      <t xml:space="preserve">의 </t>
    </r>
    <r>
      <rPr>
        <rFont val="Noto Sans"/>
        <color rgb="FF000000"/>
        <sz val="10.0"/>
      </rPr>
      <t>A</t>
    </r>
    <r>
      <rPr>
        <rFont val="Noto Sans CJK SC"/>
        <color rgb="FF000000"/>
        <sz val="10.0"/>
      </rPr>
      <t>팀과 교과목</t>
    </r>
    <r>
      <rPr>
        <rFont val="Noto Sans"/>
        <color rgb="FF000000"/>
        <sz val="10.0"/>
      </rPr>
      <t>2</t>
    </r>
    <r>
      <rPr>
        <rFont val="Noto Sans CJK SC"/>
        <color rgb="FF000000"/>
        <sz val="10.0"/>
      </rPr>
      <t xml:space="preserve">의 </t>
    </r>
    <r>
      <rPr>
        <rFont val="Noto Sans"/>
        <color rgb="FF000000"/>
        <sz val="10.0"/>
      </rPr>
      <t>A</t>
    </r>
    <r>
      <rPr>
        <rFont val="Noto Sans CJK SC"/>
        <color rgb="FF000000"/>
        <sz val="10.0"/>
      </rPr>
      <t>팀은 서로 다른 구성이어도 됩니다</t>
    </r>
    <r>
      <rPr>
        <rFont val="Noto Sans"/>
        <color rgb="FF000000"/>
        <sz val="10.0"/>
      </rPr>
      <t xml:space="preserve">. </t>
    </r>
    <r>
      <rPr>
        <rFont val="Noto Sans CJK SC"/>
        <color rgb="FF000000"/>
        <sz val="10.0"/>
      </rPr>
      <t>구역마다 팀명을 새로 적으면 됩니다</t>
    </r>
    <r>
      <rPr>
        <rFont val="Noto Sans"/>
        <color rgb="FF000000"/>
        <sz val="10.0"/>
      </rPr>
      <t>.</t>
    </r>
  </si>
  <si>
    <t>■ 사용 순서</t>
  </si>
  <si>
    <r>
      <rPr>
        <rFont val="Arial"/>
        <b/>
        <color rgb="FF000000"/>
        <sz val="10.0"/>
      </rPr>
      <t>1</t>
    </r>
    <r>
      <rPr>
        <rFont val="Noto Sans CJK SC"/>
        <b/>
        <color rgb="FF000000"/>
        <sz val="10.0"/>
      </rPr>
      <t>단계</t>
    </r>
  </si>
  <si>
    <t>화면 설계서</t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</si>
  <si>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</si>
  <si>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r>
      <rPr>
        <rFont val="Arial"/>
        <color rgb="FF000000"/>
        <sz val="10.0"/>
      </rPr>
      <t>[</t>
    </r>
    <r>
      <rPr>
        <rFont val="Noto Sans CJK SC"/>
        <color rgb="FF000000"/>
        <sz val="10.0"/>
      </rPr>
      <t>제출현황</t>
    </r>
    <r>
      <rPr>
        <rFont val="Arial"/>
        <color rgb="FF000000"/>
        <sz val="10.0"/>
      </rPr>
      <t>]</t>
    </r>
    <r>
      <rPr>
        <rFont val="Noto Sans CJK SC"/>
        <color rgb="FF000000"/>
        <sz val="10.0"/>
      </rPr>
      <t xml:space="preserve">에서 교과목별로 노란색 </t>
    </r>
    <r>
      <rPr>
        <rFont val="Arial"/>
        <color rgb="FF000000"/>
        <sz val="10.0"/>
      </rPr>
      <t>'</t>
    </r>
    <r>
      <rPr>
        <rFont val="Noto Sans CJK SC"/>
        <color rgb="FF000000"/>
        <sz val="10.0"/>
      </rPr>
      <t>팀명</t>
    </r>
    <r>
      <rPr>
        <rFont val="Arial"/>
        <color rgb="FF000000"/>
        <sz val="10.0"/>
      </rPr>
      <t xml:space="preserve">' </t>
    </r>
    <r>
      <rPr>
        <rFont val="Noto Sans CJK SC"/>
        <color rgb="FF000000"/>
        <sz val="10.0"/>
      </rPr>
      <t>칸에 그 교과목의 팀 이름을 입력합니다</t>
    </r>
    <r>
      <rPr>
        <rFont val="Arial"/>
        <color rgb="FF000000"/>
        <sz val="10.0"/>
      </rPr>
      <t>. (</t>
    </r>
    <r>
      <rPr>
        <rFont val="Noto Sans CJK SC"/>
        <color rgb="FF000000"/>
        <sz val="10.0"/>
      </rPr>
      <t xml:space="preserve">교과목마다 팀 </t>
    </r>
    <r>
      <rPr>
        <rFont val="Arial"/>
        <color rgb="FF000000"/>
        <sz val="10.0"/>
      </rPr>
      <t>3~8</t>
    </r>
    <r>
      <rPr>
        <rFont val="Noto Sans CJK SC"/>
        <color rgb="FF000000"/>
        <sz val="10.0"/>
      </rPr>
      <t>개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쓰는 팀만 채우면 됩니다</t>
    </r>
    <r>
      <rPr>
        <rFont val="Arial"/>
        <color rgb="FF000000"/>
        <sz val="10.0"/>
      </rPr>
      <t>)</t>
    </r>
  </si>
  <si>
    <r>
      <rPr>
        <rFont val="Arial"/>
        <b/>
        <color rgb="FF000000"/>
        <sz val="10.0"/>
      </rPr>
      <t>2</t>
    </r>
    <r>
      <rPr>
        <rFont val="Noto Sans CJK SC"/>
        <b/>
        <color rgb="FF000000"/>
        <sz val="10.0"/>
      </rPr>
      <t>단계</t>
    </r>
  </si>
  <si>
    <t>https://github.com/example-team/p1-1-api</t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</si>
  <si>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모든 화면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메인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상세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입력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설정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에러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의 와이어프레임이 누락 없이 작성되고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정보 계층구조</t>
    </r>
    <r>
      <rPr>
        <rFont val="Arial"/>
        <color rgb="FF000000"/>
        <sz val="10.0"/>
      </rPr>
      <t>(IA)</t>
    </r>
    <r>
      <rPr>
        <rFont val="Noto Sans CJK SC"/>
        <color rgb="FF000000"/>
        <sz val="10.0"/>
      </rPr>
      <t>가 논리적인가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컴포넌트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버튼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입력폼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테이블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차트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의 스타일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색상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폰트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여백이 전체 화면에서 통일된 디자인 시스템을 따르는가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클릭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호버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드래그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스크롤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필터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새로고침 등 모든 사용자 액션에 대한 시스템 반응이 정의되었는가</t>
    </r>
    <r>
      <rPr>
        <rFont val="Arial"/>
        <color rgb="FF000000"/>
        <sz val="10.0"/>
      </rPr>
      <t>?</t>
    </r>
  </si>
  <si>
    <t>데이터베이스 설계서</t>
  </si>
  <si>
    <r>
      <rPr>
        <rFont val="Noto Sans CJK SC"/>
        <color rgb="FF000000"/>
        <sz val="10.0"/>
      </rPr>
      <t>참여자</t>
    </r>
    <r>
      <rPr>
        <rFont val="Noto Sans"/>
        <color rgb="FF000000"/>
        <sz val="10.0"/>
      </rPr>
      <t>(</t>
    </r>
    <r>
      <rPr>
        <rFont val="Noto Sans CJK SC"/>
        <color rgb="FF000000"/>
        <sz val="10.0"/>
      </rPr>
      <t>팀</t>
    </r>
    <r>
      <rPr>
        <rFont val="Noto Sans"/>
        <color rgb="FF000000"/>
        <sz val="10.0"/>
      </rPr>
      <t>)</t>
    </r>
    <r>
      <rPr>
        <rFont val="Noto Sans CJK SC"/>
        <color rgb="FF000000"/>
        <sz val="10.0"/>
      </rPr>
      <t xml:space="preserve">가 각 산출물의 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>제출 링크</t>
    </r>
    <r>
      <rPr>
        <rFont val="Noto Sans"/>
        <color rgb="FF000000"/>
        <sz val="10.0"/>
      </rPr>
      <t xml:space="preserve">' </t>
    </r>
    <r>
      <rPr>
        <rFont val="Noto Sans CJK SC"/>
        <color rgb="FF000000"/>
        <sz val="10.0"/>
      </rPr>
      <t xml:space="preserve">칸에 </t>
    </r>
    <r>
      <rPr>
        <rFont val="Noto Sans"/>
        <color rgb="FF000000"/>
        <sz val="10.0"/>
      </rPr>
      <t>GitHub·</t>
    </r>
    <r>
      <rPr>
        <rFont val="Noto Sans CJK SC"/>
        <color rgb="FF000000"/>
        <sz val="10.0"/>
      </rPr>
      <t>구글드라이브</t>
    </r>
    <r>
      <rPr>
        <rFont val="Noto Sans"/>
        <color rgb="FF000000"/>
        <sz val="10.0"/>
      </rPr>
      <t>·</t>
    </r>
    <r>
      <rPr>
        <rFont val="Noto Sans CJK SC"/>
        <color rgb="FF000000"/>
        <sz val="10.0"/>
      </rPr>
      <t xml:space="preserve">노션 등 </t>
    </r>
    <r>
      <rPr>
        <rFont val="Noto Sans"/>
        <color rgb="FF000000"/>
        <sz val="10.0"/>
      </rPr>
      <t>URL</t>
    </r>
    <r>
      <rPr>
        <rFont val="Noto Sans CJK SC"/>
        <color rgb="FF000000"/>
        <sz val="10.0"/>
      </rPr>
      <t xml:space="preserve">을 붙여넣고 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>제출 상태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 xml:space="preserve">를 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>제출완료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>로 바꿉니다</t>
    </r>
    <r>
      <rPr>
        <rFont val="Noto Sans"/>
        <color rgb="FF000000"/>
        <sz val="10.0"/>
      </rPr>
      <t>.</t>
    </r>
  </si>
  <si>
    <t>제출완료</t>
  </si>
  <si>
    <r>
      <rPr>
        <rFont val="Arial"/>
        <b/>
        <color rgb="FF000000"/>
        <sz val="10.0"/>
      </rPr>
      <t>3</t>
    </r>
    <r>
      <rPr>
        <rFont val="Noto Sans CJK SC"/>
        <b/>
        <color rgb="FF000000"/>
        <sz val="10.0"/>
      </rPr>
      <t>단계</t>
    </r>
  </si>
  <si>
    <t>2026-09-07</t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</si>
  <si>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 xml:space="preserve">테이블이 </t>
    </r>
    <r>
      <rPr>
        <rFont val="Arial"/>
        <color rgb="FF000000"/>
        <sz val="10.0"/>
      </rPr>
      <t>3</t>
    </r>
    <r>
      <rPr>
        <rFont val="Noto Sans CJK SC"/>
        <color rgb="FF000000"/>
        <sz val="10.0"/>
      </rPr>
      <t>정규화</t>
    </r>
    <r>
      <rPr>
        <rFont val="Arial"/>
        <color rgb="FF000000"/>
        <sz val="10.0"/>
      </rPr>
      <t xml:space="preserve">(3NF) </t>
    </r>
    <r>
      <rPr>
        <rFont val="Noto Sans CJK SC"/>
        <color rgb="FF000000"/>
        <sz val="10.0"/>
      </rPr>
      <t>기준으로 설계되어 데이터 중복이 최소화되고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이상현상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삽입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갱신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삭제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이 방지되었는가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 xml:space="preserve">논리 </t>
    </r>
    <r>
      <rPr>
        <rFont val="Arial"/>
        <color rgb="FF000000"/>
        <sz val="10.0"/>
      </rPr>
      <t>ERD(</t>
    </r>
    <r>
      <rPr>
        <rFont val="Noto Sans CJK SC"/>
        <color rgb="FF000000"/>
        <sz val="10.0"/>
      </rPr>
      <t>엔티티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속성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관계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카디널리티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 xml:space="preserve">와 물리 </t>
    </r>
    <r>
      <rPr>
        <rFont val="Arial"/>
        <color rgb="FF000000"/>
        <sz val="10.0"/>
      </rPr>
      <t>ERD(</t>
    </r>
    <r>
      <rPr>
        <rFont val="Noto Sans CJK SC"/>
        <color rgb="FF000000"/>
        <sz val="10.0"/>
      </rPr>
      <t>테이블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컬럼</t>
    </r>
    <r>
      <rPr>
        <rFont val="Arial"/>
        <color rgb="FF000000"/>
        <sz val="10.0"/>
      </rPr>
      <t>·PK/FK·</t>
    </r>
    <r>
      <rPr>
        <rFont val="Noto Sans CJK SC"/>
        <color rgb="FF000000"/>
        <sz val="10.0"/>
      </rPr>
      <t>인덱스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가 모두 작성되고 일치하는가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모든 컬럼의 데이터 타입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길이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제약조건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기본값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코멘트가 명확히 정의되었는가</t>
    </r>
    <r>
      <rPr>
        <rFont val="Arial"/>
        <color rgb="FF000000"/>
        <sz val="10.0"/>
      </rPr>
      <t>?</t>
    </r>
  </si>
  <si>
    <r>
      <rPr>
        <rFont val="Noto Sans CJK SC"/>
        <color rgb="FF000000"/>
        <sz val="10.0"/>
      </rPr>
      <t xml:space="preserve">운영자는 링크 확인 후 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>검토 상태</t>
    </r>
    <r>
      <rPr>
        <rFont val="Noto Sans"/>
        <color rgb="FF000000"/>
        <sz val="10.0"/>
      </rPr>
      <t>'(</t>
    </r>
    <r>
      <rPr>
        <rFont val="Noto Sans CJK SC"/>
        <color rgb="FF000000"/>
        <sz val="10.0"/>
      </rPr>
      <t>승인</t>
    </r>
    <r>
      <rPr>
        <rFont val="Noto Sans"/>
        <color rgb="FF000000"/>
        <sz val="10.0"/>
      </rPr>
      <t>/</t>
    </r>
    <r>
      <rPr>
        <rFont val="Noto Sans CJK SC"/>
        <color rgb="FF000000"/>
        <sz val="10.0"/>
      </rPr>
      <t>반려</t>
    </r>
    <r>
      <rPr>
        <rFont val="Noto Sans"/>
        <color rgb="FF000000"/>
        <sz val="10.0"/>
      </rPr>
      <t>/</t>
    </r>
    <r>
      <rPr>
        <rFont val="Noto Sans CJK SC"/>
        <color rgb="FF000000"/>
        <sz val="10.0"/>
      </rPr>
      <t>검토중</t>
    </r>
    <r>
      <rPr>
        <rFont val="Noto Sans"/>
        <color rgb="FF000000"/>
        <sz val="10.0"/>
      </rPr>
      <t>)</t>
    </r>
    <r>
      <rPr>
        <rFont val="Noto Sans CJK SC"/>
        <color rgb="FF000000"/>
        <sz val="10.0"/>
      </rPr>
      <t xml:space="preserve">와 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>운영자 피드백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>을 기록합니다</t>
    </r>
    <r>
      <rPr>
        <rFont val="Noto Sans"/>
        <color rgb="FF000000"/>
        <sz val="10.0"/>
      </rPr>
      <t>.</t>
    </r>
  </si>
  <si>
    <t>승인</t>
  </si>
  <si>
    <r>
      <rPr>
        <rFont val="Arial"/>
        <b/>
        <color rgb="FF000000"/>
        <sz val="10.0"/>
      </rPr>
      <t>4</t>
    </r>
    <r>
      <rPr>
        <rFont val="Noto Sans CJK SC"/>
        <b/>
        <color rgb="FF000000"/>
        <sz val="10.0"/>
      </rPr>
      <t>단계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</si>
  <si>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명세 확인 완료</t>
    </r>
  </si>
  <si>
    <t>대시보드 구현 결과물</t>
  </si>
  <si>
    <r>
      <rPr>
        <rFont val="Arial"/>
        <color rgb="FF000000"/>
        <sz val="10.0"/>
      </rPr>
      <t>[</t>
    </r>
    <r>
      <rPr>
        <rFont val="Noto Sans CJK SC"/>
        <color rgb="FF000000"/>
        <sz val="10.0"/>
      </rPr>
      <t>대시보드</t>
    </r>
    <r>
      <rPr>
        <rFont val="Arial"/>
        <color rgb="FF000000"/>
        <sz val="10.0"/>
      </rPr>
      <t>]</t>
    </r>
    <r>
      <rPr>
        <rFont val="Noto Sans CJK SC"/>
        <color rgb="FF000000"/>
        <sz val="10.0"/>
      </rPr>
      <t>에서 교과목별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팀별 진행률을 확인합니다</t>
    </r>
    <r>
      <rPr>
        <rFont val="Arial"/>
        <color rgb="FF000000"/>
        <sz val="10.0"/>
      </rPr>
      <t>.</t>
    </r>
  </si>
  <si>
    <t>■ 상태 값 안내</t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</si>
  <si>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구현된 대시보드가 배포 환경에서 동작하며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핵심 기능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로그 수집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조회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시각화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이 시연 가능한가</t>
    </r>
    <r>
      <rPr>
        <rFont val="Arial"/>
        <color rgb="FF000000"/>
        <sz val="10.0"/>
      </rPr>
      <t>?</t>
    </r>
  </si>
  <si>
    <r>
      <rPr>
        <rFont val="Noto Sans CJK SC"/>
        <b/>
        <color rgb="FF1F3864"/>
        <sz val="11.0"/>
      </rPr>
      <t xml:space="preserve">교과목 </t>
    </r>
    <r>
      <rPr>
        <rFont val="Noto Sans"/>
        <b/>
        <color rgb="FF1F3864"/>
        <sz val="11.0"/>
      </rPr>
      <t xml:space="preserve">2
</t>
    </r>
    <r>
      <rPr>
        <rFont val="Noto Sans CJK SC"/>
        <b/>
        <color rgb="FF1F3864"/>
        <sz val="11.0"/>
      </rPr>
      <t xml:space="preserve">단일 에이전트 추론 및 </t>
    </r>
    <r>
      <rPr>
        <rFont val="Noto Sans"/>
        <b/>
        <color rgb="FF1F3864"/>
        <sz val="11.0"/>
      </rPr>
      <t xml:space="preserve">AI </t>
    </r>
    <r>
      <rPr>
        <rFont val="Noto Sans CJK SC"/>
        <b/>
        <color rgb="FF1F3864"/>
        <sz val="11.0"/>
      </rPr>
      <t>오케스트레이션</t>
    </r>
  </si>
  <si>
    <r>
      <rPr>
        <rFont val="Noto Sans CJK SC"/>
        <color rgb="FF000000"/>
        <sz val="10.0"/>
      </rPr>
      <t xml:space="preserve">미제출 </t>
    </r>
    <r>
      <rPr>
        <rFont val="Noto Sans"/>
        <color rgb="FF000000"/>
        <sz val="10.0"/>
      </rPr>
      <t xml:space="preserve">· </t>
    </r>
    <r>
      <rPr>
        <rFont val="Noto Sans CJK SC"/>
        <color rgb="FF000000"/>
        <sz val="10.0"/>
      </rPr>
      <t xml:space="preserve">제출완료 </t>
    </r>
    <r>
      <rPr>
        <rFont val="Noto Sans"/>
        <color rgb="FF000000"/>
        <sz val="10.0"/>
      </rPr>
      <t xml:space="preserve">· </t>
    </r>
    <r>
      <rPr>
        <rFont val="Noto Sans CJK SC"/>
        <color rgb="FF000000"/>
        <sz val="10.0"/>
      </rPr>
      <t xml:space="preserve">재제출  </t>
    </r>
    <r>
      <rPr>
        <rFont val="Noto Sans"/>
        <color rgb="FF000000"/>
        <sz val="10.0"/>
      </rPr>
      <t>(</t>
    </r>
    <r>
      <rPr>
        <rFont val="Noto Sans CJK SC"/>
        <color rgb="FF000000"/>
        <sz val="10.0"/>
      </rPr>
      <t>참여자가 선택</t>
    </r>
    <r>
      <rPr>
        <rFont val="Noto Sans"/>
        <color rgb="FF000000"/>
        <sz val="10.0"/>
      </rPr>
      <t>)</t>
    </r>
  </si>
  <si>
    <r>
      <rPr>
        <rFont val="Noto Sans CJK SC"/>
        <color rgb="FF000000"/>
        <sz val="10.0"/>
      </rPr>
      <t xml:space="preserve">미검토 </t>
    </r>
    <r>
      <rPr>
        <rFont val="Noto Sans"/>
        <color rgb="FF000000"/>
        <sz val="10.0"/>
      </rPr>
      <t xml:space="preserve">· </t>
    </r>
    <r>
      <rPr>
        <rFont val="Noto Sans CJK SC"/>
        <color rgb="FF000000"/>
        <sz val="10.0"/>
      </rPr>
      <t xml:space="preserve">검토중 </t>
    </r>
    <r>
      <rPr>
        <rFont val="Noto Sans"/>
        <color rgb="FF000000"/>
        <sz val="10.0"/>
      </rPr>
      <t xml:space="preserve">· </t>
    </r>
    <r>
      <rPr>
        <rFont val="Noto Sans CJK SC"/>
        <color rgb="FF000000"/>
        <sz val="10.0"/>
      </rPr>
      <t xml:space="preserve">승인 </t>
    </r>
    <r>
      <rPr>
        <rFont val="Noto Sans"/>
        <color rgb="FF000000"/>
        <sz val="10.0"/>
      </rPr>
      <t xml:space="preserve">· </t>
    </r>
    <r>
      <rPr>
        <rFont val="Noto Sans CJK SC"/>
        <color rgb="FF000000"/>
        <sz val="10.0"/>
      </rPr>
      <t xml:space="preserve">반려  </t>
    </r>
    <r>
      <rPr>
        <rFont val="Noto Sans"/>
        <color rgb="FF000000"/>
        <sz val="10.0"/>
      </rPr>
      <t>(</t>
    </r>
    <r>
      <rPr>
        <rFont val="Noto Sans CJK SC"/>
        <color rgb="FF000000"/>
        <sz val="10.0"/>
      </rPr>
      <t>운영자가 선택</t>
    </r>
    <r>
      <rPr>
        <rFont val="Noto Sans"/>
        <color rgb="FF000000"/>
        <sz val="10.0"/>
      </rPr>
      <t>)</t>
    </r>
  </si>
  <si>
    <r>
      <rPr>
        <rFont val="Noto Sans CJK SC"/>
        <color rgb="FF000000"/>
        <sz val="10.0"/>
      </rPr>
      <t xml:space="preserve">복합 </t>
    </r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연계 일정 조정 에이전트</t>
    </r>
  </si>
  <si>
    <t>■ 참고</t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</si>
  <si>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</si>
  <si>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t>입력 칸</t>
  </si>
  <si>
    <r>
      <rPr>
        <rFont val="Arial"/>
        <color rgb="FF000000"/>
        <sz val="10.0"/>
      </rPr>
      <t>1. LangGraph</t>
    </r>
    <r>
      <rPr>
        <rFont val="Noto Sans CJK SC"/>
        <color rgb="FF000000"/>
        <sz val="10.0"/>
      </rPr>
      <t>를 이용한 다중 도구</t>
    </r>
    <r>
      <rPr>
        <rFont val="Arial"/>
        <color rgb="FF000000"/>
        <sz val="10.0"/>
      </rPr>
      <t xml:space="preserve">(Multi-tool) </t>
    </r>
    <r>
      <rPr>
        <rFont val="Noto Sans CJK SC"/>
        <color rgb="FF000000"/>
        <sz val="10.0"/>
      </rPr>
      <t xml:space="preserve">선택 및 순환형 워크플로우 설계
</t>
    </r>
    <r>
      <rPr>
        <rFont val="Arial"/>
        <color rgb="FF000000"/>
        <sz val="10.0"/>
      </rPr>
      <t xml:space="preserve">2. </t>
    </r>
    <r>
      <rPr>
        <rFont val="Noto Sans CJK SC"/>
        <color rgb="FF000000"/>
        <sz val="10.0"/>
      </rPr>
      <t xml:space="preserve">에이전트의 판단 오류를 스스로 수정하는 자가 성찰 및 피드백 루프 구현
</t>
    </r>
    <r>
      <rPr>
        <rFont val="Arial"/>
        <color rgb="FF000000"/>
        <sz val="10.0"/>
      </rPr>
      <t xml:space="preserve">3. </t>
    </r>
    <r>
      <rPr>
        <rFont val="Noto Sans CJK SC"/>
        <color rgb="FF000000"/>
        <sz val="10.0"/>
      </rPr>
      <t xml:space="preserve">실시간 </t>
    </r>
    <r>
      <rPr>
        <rFont val="Arial"/>
        <color rgb="FF000000"/>
        <sz val="10.0"/>
      </rPr>
      <t xml:space="preserve">API </t>
    </r>
    <r>
      <rPr>
        <rFont val="Noto Sans CJK SC"/>
        <color rgb="FF000000"/>
        <sz val="10.0"/>
      </rPr>
      <t>데이터 기반의 의사결정 시나리오 테스트 및 서비스 배포 실습</t>
    </r>
  </si>
  <si>
    <r>
      <rPr>
        <rFont val="Noto Sans CJK SC"/>
        <color rgb="FF000000"/>
        <sz val="10.0"/>
      </rPr>
      <t>노란색 칸만 직접 입력합니다</t>
    </r>
    <r>
      <rPr>
        <rFont val="Noto Sans"/>
        <color rgb="FF000000"/>
        <sz val="10.0"/>
      </rPr>
      <t xml:space="preserve">. </t>
    </r>
    <r>
      <rPr>
        <rFont val="Noto Sans CJK SC"/>
        <color rgb="FF000000"/>
        <sz val="10.0"/>
      </rPr>
      <t>대시보드의 수식 칸은 자동 계산되니 수정하지 마세요</t>
    </r>
    <r>
      <rPr>
        <rFont val="Noto Sans"/>
        <color rgb="FF000000"/>
        <sz val="10.0"/>
      </rPr>
      <t>.</t>
    </r>
  </si>
  <si>
    <t>https://github.com/example-team/p1-2-ui</t>
  </si>
  <si>
    <t>팀명 규칙</t>
  </si>
  <si>
    <t>P2-1</t>
  </si>
  <si>
    <t>에이전트 아키텍처 설계서</t>
  </si>
  <si>
    <t>2026-09-08</t>
  </si>
  <si>
    <r>
      <rPr>
        <rFont val="Noto Sans CJK SC"/>
        <color rgb="FF000000"/>
        <sz val="10.0"/>
      </rPr>
      <t>한 교과목 구역 안에서는 팀명이 겹치지 않게 입력하세요</t>
    </r>
    <r>
      <rPr>
        <rFont val="Noto Sans"/>
        <color rgb="FF000000"/>
        <sz val="10.0"/>
      </rPr>
      <t xml:space="preserve">. </t>
    </r>
    <r>
      <rPr>
        <rFont val="Noto Sans CJK SC"/>
        <color rgb="FF000000"/>
        <sz val="10.0"/>
      </rPr>
      <t>사용하지 않는 팀은 팀명을 비워두면 대시보드에서 자동 제외됩니다</t>
    </r>
    <r>
      <rPr>
        <rFont val="Noto Sans"/>
        <color rgb="FF000000"/>
        <sz val="10.0"/>
      </rPr>
      <t>.</t>
    </r>
  </si>
  <si>
    <t>검토중</t>
  </si>
  <si>
    <t>화면 설계 검토 중</t>
  </si>
  <si>
    <t>예시팀</t>
  </si>
  <si>
    <r>
      <rPr>
        <rFont val="Arial"/>
        <color rgb="FF000000"/>
        <sz val="10.0"/>
      </rPr>
      <t>1. StateGraph</t>
    </r>
    <r>
      <rPr>
        <rFont val="Noto Sans CJK SC"/>
        <color rgb="FF000000"/>
        <sz val="10.0"/>
      </rPr>
      <t xml:space="preserve">의 각 </t>
    </r>
    <r>
      <rPr>
        <rFont val="Arial"/>
        <color rgb="FF000000"/>
        <sz val="10.0"/>
      </rPr>
      <t xml:space="preserve">Node(Start·Tools·Decision·End </t>
    </r>
    <r>
      <rPr>
        <rFont val="Noto Sans CJK SC"/>
        <color rgb="FF000000"/>
        <sz val="10.0"/>
      </rPr>
      <t>등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가 에이전트의 사고 흐름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인지→판단→행동→검증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에 맞게 논리적으로 배치되었는가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분기 조건이 명확한 기준값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정책으로 정의되고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예외 흐름</t>
    </r>
    <r>
      <rPr>
        <rFont val="Arial"/>
        <color rgb="FF000000"/>
        <sz val="10.0"/>
      </rPr>
      <t>(Fallback)</t>
    </r>
    <r>
      <rPr>
        <rFont val="Noto Sans CJK SC"/>
        <color rgb="FF000000"/>
        <sz val="10.0"/>
      </rPr>
      <t>도 엣지로 표현되었는가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단기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장기 기억 연동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컨텍스트 윈도우 관리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요약</t>
    </r>
    <r>
      <rPr>
        <rFont val="Arial"/>
        <color rgb="FF000000"/>
        <sz val="10.0"/>
      </rPr>
      <t xml:space="preserve">(Summarization) </t>
    </r>
    <r>
      <rPr>
        <rFont val="Noto Sans CJK SC"/>
        <color rgb="FF000000"/>
        <sz val="10.0"/>
      </rPr>
      <t>전략이 그래프 설계에 반영되었는가</t>
    </r>
    <r>
      <rPr>
        <rFont val="Arial"/>
        <color rgb="FF000000"/>
        <sz val="10.0"/>
      </rPr>
      <t xml:space="preserve">?
4. Function Calling·Tool Use </t>
    </r>
    <r>
      <rPr>
        <rFont val="Noto Sans CJK SC"/>
        <color rgb="FF000000"/>
        <sz val="10.0"/>
      </rPr>
      <t>호출 흐름이 시퀀스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상태 흐름도로 명확히 표현되었는가</t>
    </r>
    <r>
      <rPr>
        <rFont val="Arial"/>
        <color rgb="FF000000"/>
        <sz val="10.0"/>
      </rPr>
      <t xml:space="preserve">?
5. </t>
    </r>
    <r>
      <rPr>
        <rFont val="Noto Sans CJK SC"/>
        <color rgb="FF000000"/>
        <sz val="10.0"/>
      </rPr>
      <t>상태 객체 필드</t>
    </r>
    <r>
      <rPr>
        <rFont val="Arial"/>
        <color rgb="FF000000"/>
        <sz val="10.0"/>
      </rPr>
      <t xml:space="preserve">(messages·tools_called·error_count </t>
    </r>
    <r>
      <rPr>
        <rFont val="Noto Sans CJK SC"/>
        <color rgb="FF000000"/>
        <sz val="10.0"/>
      </rPr>
      <t>등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가 타입 힌트와 함께 정의되고 불필요한 중복이 없는가</t>
    </r>
    <r>
      <rPr>
        <rFont val="Arial"/>
        <color rgb="FF000000"/>
        <sz val="10.0"/>
      </rPr>
      <t>?</t>
    </r>
  </si>
  <si>
    <t>P2-2</t>
  </si>
  <si>
    <t>에이전트 시험 결과 보고서</t>
  </si>
  <si>
    <r>
      <rPr>
        <rFont val="Noto Sans CJK SC"/>
        <color rgb="FF000000"/>
        <sz val="10.0"/>
      </rPr>
      <t>교과목</t>
    </r>
    <r>
      <rPr>
        <rFont val="Noto Sans"/>
        <color rgb="FF000000"/>
        <sz val="10.0"/>
      </rPr>
      <t>1</t>
    </r>
    <r>
      <rPr>
        <rFont val="Noto Sans CJK SC"/>
        <color rgb="FF000000"/>
        <sz val="10.0"/>
      </rPr>
      <t xml:space="preserve">의 맨 위 </t>
    </r>
    <r>
      <rPr>
        <rFont val="Noto Sans"/>
        <color rgb="FF000000"/>
        <sz val="10.0"/>
      </rPr>
      <t>'</t>
    </r>
    <r>
      <rPr>
        <rFont val="Noto Sans CJK SC"/>
        <color rgb="FF000000"/>
        <sz val="10.0"/>
      </rPr>
      <t>예시팀</t>
    </r>
    <r>
      <rPr>
        <rFont val="Noto Sans"/>
        <color rgb="FF000000"/>
        <sz val="10.0"/>
      </rPr>
      <t xml:space="preserve">' </t>
    </r>
    <r>
      <rPr>
        <rFont val="Noto Sans CJK SC"/>
        <color rgb="FF000000"/>
        <sz val="10.0"/>
      </rPr>
      <t>블록은 작성 예시입니다</t>
    </r>
    <r>
      <rPr>
        <rFont val="Noto Sans"/>
        <color rgb="FF000000"/>
        <sz val="10.0"/>
      </rPr>
      <t xml:space="preserve">. </t>
    </r>
    <r>
      <rPr>
        <rFont val="Noto Sans CJK SC"/>
        <color rgb="FF000000"/>
        <sz val="10.0"/>
      </rPr>
      <t>실제 사용 시 팀명을 덮어쓰거나 내용을 지우세요</t>
    </r>
    <r>
      <rPr>
        <rFont val="Noto Sans"/>
        <color rgb="FF000000"/>
        <sz val="10.0"/>
      </rPr>
      <t>.</t>
    </r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</si>
  <si>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판단 오류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할루시네이션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도구 선택 오류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파라미터 누락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응답 불일치 등</t>
    </r>
    <r>
      <rPr>
        <rFont val="Arial"/>
        <color rgb="FF000000"/>
        <sz val="10.0"/>
      </rPr>
      <t xml:space="preserve">) </t>
    </r>
    <r>
      <rPr>
        <rFont val="Noto Sans CJK SC"/>
        <color rgb="FF000000"/>
        <sz val="10.0"/>
      </rPr>
      <t>감지 기준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룰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휴리스틱</t>
    </r>
    <r>
      <rPr>
        <rFont val="Arial"/>
        <color rgb="FF000000"/>
        <sz val="10.0"/>
      </rPr>
      <t>/LLM)</t>
    </r>
    <r>
      <rPr>
        <rFont val="Noto Sans CJK SC"/>
        <color rgb="FF000000"/>
        <sz val="10.0"/>
      </rPr>
      <t>이 구체적으로 정의되었는가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오류 유형별 재시도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대체 전략</t>
    </r>
    <r>
      <rPr>
        <rFont val="Arial"/>
        <color rgb="FF000000"/>
        <sz val="10.0"/>
      </rPr>
      <t>(Fallback)·</t>
    </r>
    <r>
      <rPr>
        <rFont val="Noto Sans CJK SC"/>
        <color rgb="FF000000"/>
        <sz val="10.0"/>
      </rPr>
      <t>휴리스틱 업데이트 이력이 버전별로 문서화되고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개선 전후 성능 비교가 포함되었는가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오류 감지→원인 분석→수정 전략 선택→재실행→검증 피드백 루프가 순서도</t>
    </r>
    <r>
      <rPr>
        <rFont val="Arial"/>
        <color rgb="FF000000"/>
        <sz val="10.0"/>
      </rPr>
      <t>(Activity Diagram)</t>
    </r>
    <r>
      <rPr>
        <rFont val="Noto Sans CJK SC"/>
        <color rgb="FF000000"/>
        <sz val="10.0"/>
      </rPr>
      <t>로 표현되었는가</t>
    </r>
    <r>
      <rPr>
        <rFont val="Arial"/>
        <color rgb="FF000000"/>
        <sz val="10.0"/>
      </rPr>
      <t xml:space="preserve">?
4. </t>
    </r>
    <r>
      <rPr>
        <rFont val="Noto Sans CJK SC"/>
        <color rgb="FF000000"/>
        <sz val="10.0"/>
      </rPr>
      <t>자기 성찰 전후 태스크 완료율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도구 선택 정확도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응답 일관성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평균 재시행 횟수가 수치로 제시되었는가</t>
    </r>
    <r>
      <rPr>
        <rFont val="Arial"/>
        <color rgb="FF000000"/>
        <sz val="10.0"/>
      </rPr>
      <t>?</t>
    </r>
  </si>
  <si>
    <r>
      <rPr>
        <rFont val="Noto Sans CJK SC"/>
        <b/>
        <color rgb="FF1F3864"/>
        <sz val="11.0"/>
      </rPr>
      <t xml:space="preserve">교과목 </t>
    </r>
    <r>
      <rPr>
        <rFont val="Noto Sans"/>
        <b/>
        <color rgb="FF1F3864"/>
        <sz val="11.0"/>
      </rPr>
      <t xml:space="preserve">3
</t>
    </r>
    <r>
      <rPr>
        <rFont val="Noto Sans CJK SC"/>
        <b/>
        <color rgb="FF1F3864"/>
        <sz val="11.0"/>
      </rPr>
      <t>멀티 에이전트 협업 및 서비스 운영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</si>
  <si>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</si>
  <si>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>에러 자가 치유</t>
    </r>
    <r>
      <rPr>
        <rFont val="Noto Sans"/>
        <color rgb="FF000000"/>
        <sz val="10.0"/>
      </rPr>
      <t xml:space="preserve">(Auto Healing) </t>
    </r>
    <r>
      <rPr>
        <rFont val="Noto Sans CJK SC"/>
        <color rgb="FF000000"/>
        <sz val="10.0"/>
      </rPr>
      <t>워크플로우</t>
    </r>
  </si>
  <si>
    <t>미제출</t>
  </si>
  <si>
    <t>미검토</t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</si>
  <si>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 xml:space="preserve">에이전트 협업 시나리오 및 구조 설계
</t>
    </r>
    <r>
      <rPr>
        <rFont val="Arial"/>
        <color rgb="FF000000"/>
        <sz val="10.0"/>
      </rPr>
      <t xml:space="preserve">2. </t>
    </r>
    <r>
      <rPr>
        <rFont val="Noto Sans CJK SC"/>
        <color rgb="FF000000"/>
        <sz val="10.0"/>
      </rPr>
      <t xml:space="preserve">장애 유형별 복구 로직 및 자동화 파이프라인 구현
</t>
    </r>
    <r>
      <rPr>
        <rFont val="Arial"/>
        <color rgb="FF000000"/>
        <sz val="10.0"/>
      </rPr>
      <t xml:space="preserve">3. </t>
    </r>
    <r>
      <rPr>
        <rFont val="Noto Sans CJK SC"/>
        <color rgb="FF000000"/>
        <sz val="10.0"/>
      </rPr>
      <t xml:space="preserve">협업 기반 실행 흐름 통합 구현
</t>
    </r>
    <r>
      <rPr>
        <rFont val="Arial"/>
        <color rgb="FF000000"/>
        <sz val="10.0"/>
      </rPr>
      <t xml:space="preserve">4. </t>
    </r>
    <r>
      <rPr>
        <rFont val="Noto Sans CJK SC"/>
        <color rgb="FF000000"/>
        <sz val="10.0"/>
      </rPr>
      <t>서비스 배포 및 결과 검증</t>
    </r>
  </si>
  <si>
    <t>P3-1</t>
  </si>
  <si>
    <t>멀티 에이전트 아키텍처 설계서</t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</si>
  <si>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아키텍처 구조가 비즈니스 요구사항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응답 속도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결정 일관성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장애 격리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에 맞게 선택되고 근거가 문서화되었는가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각 에이전트의 역할</t>
    </r>
    <r>
      <rPr>
        <rFont val="Arial"/>
        <color rgb="FF000000"/>
        <sz val="10.0"/>
      </rPr>
      <t xml:space="preserve">(Planner·Executor·Critic·Memory Keeper </t>
    </r>
    <r>
      <rPr>
        <rFont val="Noto Sans CJK SC"/>
        <color rgb="FF000000"/>
        <sz val="10.0"/>
      </rPr>
      <t>등</t>
    </r>
    <r>
      <rPr>
        <rFont val="Arial"/>
        <color rgb="FF000000"/>
        <sz val="10.0"/>
      </rPr>
      <t>)·</t>
    </r>
    <r>
      <rPr>
        <rFont val="Noto Sans CJK SC"/>
        <color rgb="FF000000"/>
        <sz val="10.0"/>
      </rPr>
      <t>책임 범위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의존 관계가 정의되고 중복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공백이 없는가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에이전트 간 작업 전달</t>
    </r>
    <r>
      <rPr>
        <rFont val="Arial"/>
        <color rgb="FF000000"/>
        <sz val="10.0"/>
      </rPr>
      <t xml:space="preserve">(Handoff) </t>
    </r>
    <r>
      <rPr>
        <rFont val="Noto Sans CJK SC"/>
        <color rgb="FF000000"/>
        <sz val="10.0"/>
      </rPr>
      <t>시 컨텍스트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상태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메모리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중간 결과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가 누락 없이 전달되는 구조가 설계되었는가</t>
    </r>
    <r>
      <rPr>
        <rFont val="Arial"/>
        <color rgb="FF000000"/>
        <sz val="10.0"/>
      </rPr>
      <t>?</t>
    </r>
  </si>
  <si>
    <t>P3-2</t>
  </si>
  <si>
    <t>배포 및 장애 복구 보고서</t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</si>
  <si>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</si>
  <si>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멀티 컨테이너</t>
    </r>
    <r>
      <rPr>
        <rFont val="Arial"/>
        <color rgb="FF000000"/>
        <sz val="10.0"/>
      </rPr>
      <t xml:space="preserve">(Pod/Service) </t>
    </r>
    <r>
      <rPr>
        <rFont val="Noto Sans CJK SC"/>
        <color rgb="FF000000"/>
        <sz val="10.0"/>
      </rPr>
      <t>배포 매니페스트가 작성되고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서비스 디스커버리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로드밸런싱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시크릿 관리가 포함되었는가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네트워크</t>
    </r>
    <r>
      <rPr>
        <rFont val="Arial"/>
        <color rgb="FF000000"/>
        <sz val="10.0"/>
      </rPr>
      <t>·DB·API·LLM·</t>
    </r>
    <r>
      <rPr>
        <rFont val="Noto Sans CJK SC"/>
        <color rgb="FF000000"/>
        <sz val="10.0"/>
      </rPr>
      <t>프롬프트 등 유형별 감지 메트릭이 수립되었는가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장애 유형별 자동 복구 스크립트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재시작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재연결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대체 모델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캐시 폴백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가 구현되고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수동 개입 없이 복구되는 시나리오 비율이 제시되었는가</t>
    </r>
    <r>
      <rPr>
        <rFont val="Arial"/>
        <color rgb="FF000000"/>
        <sz val="10.0"/>
      </rPr>
      <t>?</t>
    </r>
  </si>
  <si>
    <t>P3-3</t>
  </si>
  <si>
    <t>파이프라인 구현 결과 보고서</t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</si>
  <si>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커밋→빌드→테스트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단위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통합</t>
    </r>
    <r>
      <rPr>
        <rFont val="Arial"/>
        <color rgb="FF000000"/>
        <sz val="10.0"/>
      </rPr>
      <t>)→</t>
    </r>
    <r>
      <rPr>
        <rFont val="Noto Sans CJK SC"/>
        <color rgb="FF000000"/>
        <sz val="10.0"/>
      </rPr>
      <t>배포 전체 단계가 파이프라인 다이어그램으로 표현되고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각 단계 입출력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실패 시 처리가 정의되었는가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파이프라인 내 테스트 커버리지 기준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테스트 데이터 관리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실패 시 블로킹 정책이 명시되었는가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실행 결과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성공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실패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지연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 xml:space="preserve">가 </t>
    </r>
    <r>
      <rPr>
        <rFont val="Arial"/>
        <color rgb="FF000000"/>
        <sz val="10.0"/>
      </rPr>
      <t>Slack/Teams/PagerDuty</t>
    </r>
    <r>
      <rPr>
        <rFont val="Noto Sans CJK SC"/>
        <color rgb="FF000000"/>
        <sz val="10.0"/>
      </rPr>
      <t>로 자동 알림되고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장애 시 담당자 할당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에스컬레이션이 설정되었는가</t>
    </r>
    <r>
      <rPr>
        <rFont val="Arial"/>
        <color rgb="FF000000"/>
        <sz val="10.0"/>
      </rPr>
      <t>?</t>
    </r>
  </si>
  <si>
    <r>
      <rPr>
        <rFont val="Noto Sans CJK SC"/>
        <b/>
        <color rgb="FF1F3864"/>
        <sz val="11.0"/>
      </rPr>
      <t xml:space="preserve">교과목 </t>
    </r>
    <r>
      <rPr>
        <rFont val="Noto Sans"/>
        <b/>
        <color rgb="FF1F3864"/>
        <sz val="11.0"/>
      </rPr>
      <t xml:space="preserve">4
</t>
    </r>
    <r>
      <rPr>
        <rFont val="Noto Sans CJK SC"/>
        <b/>
        <color rgb="FF1F3864"/>
        <sz val="11.0"/>
      </rPr>
      <t>노코드 멀티 에이전트 워크플로우 설계 및 운영</t>
    </r>
  </si>
  <si>
    <r>
      <rPr>
        <rFont val="Noto Sans CJK SC"/>
        <color rgb="FF000000"/>
        <sz val="10.0"/>
      </rPr>
      <t>노코드</t>
    </r>
    <r>
      <rPr>
        <rFont val="Noto Sans"/>
        <color rgb="FF000000"/>
        <sz val="10.0"/>
      </rPr>
      <t>·</t>
    </r>
    <r>
      <rPr>
        <rFont val="Noto Sans CJK SC"/>
        <color rgb="FF000000"/>
        <sz val="10.0"/>
      </rPr>
      <t>로코드 기반 기업형 지능형 기술 지원 자동화</t>
    </r>
    <r>
      <rPr>
        <rFont val="Noto Sans"/>
        <color rgb="FF000000"/>
        <sz val="10.0"/>
      </rPr>
      <t xml:space="preserve">(Tech Support) </t>
    </r>
    <r>
      <rPr>
        <rFont val="Noto Sans CJK SC"/>
        <color rgb="FF000000"/>
        <sz val="10.0"/>
      </rPr>
      <t>워크플로우</t>
    </r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</si>
  <si>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노코드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 xml:space="preserve">로코드 기반 </t>
    </r>
    <r>
      <rPr>
        <rFont val="Arial"/>
        <color rgb="FF000000"/>
        <sz val="10.0"/>
      </rPr>
      <t xml:space="preserve">RAG </t>
    </r>
    <r>
      <rPr>
        <rFont val="Noto Sans CJK SC"/>
        <color rgb="FF000000"/>
        <sz val="10.0"/>
      </rPr>
      <t xml:space="preserve">및 도구 노드 구현
</t>
    </r>
    <r>
      <rPr>
        <rFont val="Arial"/>
        <color rgb="FF000000"/>
        <sz val="10.0"/>
      </rPr>
      <t xml:space="preserve">2. </t>
    </r>
    <r>
      <rPr>
        <rFont val="Noto Sans CJK SC"/>
        <color rgb="FF000000"/>
        <sz val="10.0"/>
      </rPr>
      <t xml:space="preserve">멀티 에이전트 오케스트레이션 구현
</t>
    </r>
    <r>
      <rPr>
        <rFont val="Arial"/>
        <color rgb="FF000000"/>
        <sz val="10.0"/>
      </rPr>
      <t xml:space="preserve">3. </t>
    </r>
    <r>
      <rPr>
        <rFont val="Noto Sans CJK SC"/>
        <color rgb="FF000000"/>
        <sz val="10.0"/>
      </rPr>
      <t>운영 안정화 및 예외 처리</t>
    </r>
    <r>
      <rPr>
        <rFont val="Arial"/>
        <color rgb="FF000000"/>
        <sz val="10.0"/>
      </rPr>
      <t xml:space="preserve">(Error Handling)
4. </t>
    </r>
    <r>
      <rPr>
        <rFont val="Noto Sans CJK SC"/>
        <color rgb="FF000000"/>
        <sz val="10.0"/>
      </rPr>
      <t>서비스 테스트 및 결과 검증</t>
    </r>
  </si>
  <si>
    <t>P4-1</t>
  </si>
  <si>
    <t>노코드 워크플로우 설계서</t>
  </si>
  <si>
    <r>
      <rPr>
        <rFont val="Arial"/>
        <color rgb="FF000000"/>
        <sz val="10.0"/>
      </rPr>
      <t>1. Trigger→</t>
    </r>
    <r>
      <rPr>
        <rFont val="Noto Sans CJK SC"/>
        <color rgb="FF000000"/>
        <sz val="10.0"/>
      </rPr>
      <t>처리→출력 전체 흐름이 비즈니스 로직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지능형 기술 지원</t>
    </r>
    <r>
      <rPr>
        <rFont val="Arial"/>
        <color rgb="FF000000"/>
        <sz val="10.0"/>
      </rPr>
      <t>)</t>
    </r>
    <r>
      <rPr>
        <rFont val="Noto Sans CJK SC"/>
        <color rgb="FF000000"/>
        <sz val="10.0"/>
      </rPr>
      <t>에 맞게 연결되고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병렬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분기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루프 구조가 적절히 사용되었는가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외부 서비스</t>
    </r>
    <r>
      <rPr>
        <rFont val="Arial"/>
        <color rgb="FF000000"/>
        <sz val="10.0"/>
      </rPr>
      <t xml:space="preserve">(Slack/Email/Jira/Notion/Database/API) </t>
    </r>
    <r>
      <rPr>
        <rFont val="Noto Sans CJK SC"/>
        <color rgb="FF000000"/>
        <sz val="10.0"/>
      </rPr>
      <t>연동 노드가 인증</t>
    </r>
    <r>
      <rPr>
        <rFont val="Arial"/>
        <color rgb="FF000000"/>
        <sz val="10.0"/>
      </rPr>
      <t>(OAuth/API Key)</t>
    </r>
    <r>
      <rPr>
        <rFont val="Noto Sans CJK SC"/>
        <color rgb="FF000000"/>
        <sz val="10.0"/>
      </rPr>
      <t>과 에러 처리를 포함해 안정적으로 구성되었는가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노드 간 페이로드 스키마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변환 로직</t>
    </r>
    <r>
      <rPr>
        <rFont val="Arial"/>
        <color rgb="FF000000"/>
        <sz val="10.0"/>
      </rPr>
      <t>(Mapper/Formatter)·</t>
    </r>
    <r>
      <rPr>
        <rFont val="Noto Sans CJK SC"/>
        <color rgb="FF000000"/>
        <sz val="10.0"/>
      </rPr>
      <t>필수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선택 필드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예시가 연결선</t>
    </r>
    <r>
      <rPr>
        <rFont val="Arial"/>
        <color rgb="FF000000"/>
        <sz val="10.0"/>
      </rPr>
      <t>(Edge)</t>
    </r>
    <r>
      <rPr>
        <rFont val="Noto Sans CJK SC"/>
        <color rgb="FF000000"/>
        <sz val="10.0"/>
      </rPr>
      <t>별로 문서화되었는가</t>
    </r>
    <r>
      <rPr>
        <rFont val="Arial"/>
        <color rgb="FF000000"/>
        <sz val="10.0"/>
      </rPr>
      <t>?</t>
    </r>
  </si>
  <si>
    <t>P4-2</t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</si>
  <si>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</si>
  <si>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</si>
  <si>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</si>
  <si>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원본 문서 특성에 맞는 청킹 단위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오버랩</t>
    </r>
    <r>
      <rPr>
        <rFont val="Arial"/>
        <color rgb="FF000000"/>
        <sz val="10.0"/>
      </rPr>
      <t>(Overlap)·</t>
    </r>
    <r>
      <rPr>
        <rFont val="Noto Sans CJK SC"/>
        <color rgb="FF000000"/>
        <sz val="10.0"/>
      </rPr>
      <t>청크 길이 분포가 최적화되고 근거가 제시되었는가</t>
    </r>
    <r>
      <rPr>
        <rFont val="Arial"/>
        <color rgb="FF000000"/>
        <sz val="10.0"/>
      </rPr>
      <t xml:space="preserve">?
2. </t>
    </r>
    <r>
      <rPr>
        <rFont val="Noto Sans CJK SC"/>
        <color rgb="FF000000"/>
        <sz val="10.0"/>
      </rPr>
      <t>임베딩 모델 선정 이유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성능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다국어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도메인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비용</t>
    </r>
    <r>
      <rPr>
        <rFont val="Arial"/>
        <color rgb="FF000000"/>
        <sz val="10.0"/>
      </rPr>
      <t>)·</t>
    </r>
    <r>
      <rPr>
        <rFont val="Noto Sans CJK SC"/>
        <color rgb="FF000000"/>
        <sz val="10.0"/>
      </rPr>
      <t>벡터 차원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거리 계산 방식</t>
    </r>
    <r>
      <rPr>
        <rFont val="Arial"/>
        <color rgb="FF000000"/>
        <sz val="10.0"/>
      </rPr>
      <t>(Cosine/Euclidean)</t>
    </r>
    <r>
      <rPr>
        <rFont val="Noto Sans CJK SC"/>
        <color rgb="FF000000"/>
        <sz val="10.0"/>
      </rPr>
      <t>이 명시되었는가</t>
    </r>
    <r>
      <rPr>
        <rFont val="Arial"/>
        <color rgb="FF000000"/>
        <sz val="10.0"/>
      </rPr>
      <t xml:space="preserve">?
3. </t>
    </r>
    <r>
      <rPr>
        <rFont val="Noto Sans CJK SC"/>
        <color rgb="FF000000"/>
        <sz val="10.0"/>
      </rPr>
      <t>컬렉션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인덱스 명명 규칙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파티션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샤딩 전략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메타데이터 구조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백업</t>
    </r>
    <r>
      <rPr>
        <rFont val="Arial"/>
        <color rgb="FF000000"/>
        <sz val="10.0"/>
      </rPr>
      <t>/</t>
    </r>
    <r>
      <rPr>
        <rFont val="Noto Sans CJK SC"/>
        <color rgb="FF000000"/>
        <sz val="10.0"/>
      </rPr>
      <t>복구</t>
    </r>
    <r>
      <rPr>
        <rFont val="Arial"/>
        <color rgb="FF000000"/>
        <sz val="10.0"/>
      </rPr>
      <t>·</t>
    </r>
    <r>
      <rPr>
        <rFont val="Noto Sans CJK SC"/>
        <color rgb="FF000000"/>
        <sz val="10.0"/>
      </rPr>
      <t>확장성</t>
    </r>
    <r>
      <rPr>
        <rFont val="Arial"/>
        <color rgb="FF000000"/>
        <sz val="10.0"/>
      </rPr>
      <t xml:space="preserve">(Scaling) </t>
    </r>
    <r>
      <rPr>
        <rFont val="Noto Sans CJK SC"/>
        <color rgb="FF000000"/>
        <sz val="10.0"/>
      </rPr>
      <t>방안이 설계되었는가</t>
    </r>
    <r>
      <rPr>
        <rFont val="Arial"/>
        <color rgb="FF000000"/>
        <sz val="10.0"/>
      </rPr>
      <t>?</t>
    </r>
  </si>
  <si>
    <t>P4-3</t>
  </si>
  <si>
    <t>워크플로우 실행 결과서</t>
  </si>
  <si>
    <r>
      <rPr>
        <rFont val="Arial"/>
        <color rgb="FF000000"/>
        <sz val="10.0"/>
      </rPr>
      <t xml:space="preserve">1. </t>
    </r>
    <r>
      <rPr>
        <rFont val="Noto Sans CJK SC"/>
        <color rgb="FF000000"/>
        <sz val="10.0"/>
      </rPr>
      <t>주요 시나리오에 대한 실행 테스트 로그와 예외 상황 처리 동작 결과가 포함되어 있는가</t>
    </r>
    <r>
      <rPr>
        <rFont val="Arial"/>
        <color rgb="FF000000"/>
        <sz val="10.0"/>
      </rPr>
      <t>?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</si>
  <si>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</si>
  <si>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</si>
  <si>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</si>
  <si>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</si>
  <si>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</si>
  <si>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</si>
  <si>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</si>
  <si>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</si>
  <si>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</si>
  <si>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</si>
  <si>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</si>
  <si>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</si>
  <si>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</si>
  <si>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</si>
  <si>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</si>
  <si>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</si>
  <si>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</si>
  <si>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</si>
  <si>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</si>
  <si>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</si>
  <si>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</si>
  <si>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</si>
  <si>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</si>
  <si>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</si>
  <si>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</si>
  <si>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</si>
  <si>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</si>
  <si>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</si>
  <si>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</si>
  <si>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"/>
        <color rgb="FF000000"/>
        <sz val="10.0"/>
      </rPr>
      <t xml:space="preserve">API </t>
    </r>
    <r>
      <rPr>
        <rFont val="Noto Sans CJK SC"/>
        <color rgb="FF000000"/>
        <sz val="10.0"/>
      </rPr>
      <t>설계 문서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</si>
  <si>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</si>
  <si>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</si>
  <si>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1</t>
    </r>
  </si>
  <si>
    <r>
      <rPr>
        <rFont val="Noto Sans CJK SC"/>
        <b/>
        <color rgb="FFFFFFFF"/>
        <sz val="11.0"/>
      </rPr>
      <t xml:space="preserve">■ 교과목 </t>
    </r>
    <r>
      <rPr>
        <rFont val="Noto Sans"/>
        <b/>
        <color rgb="FFFFFFFF"/>
        <sz val="11.0"/>
      </rPr>
      <t xml:space="preserve">2  |  </t>
    </r>
    <r>
      <rPr>
        <rFont val="Noto Sans CJK SC"/>
        <b/>
        <color rgb="FFFFFFFF"/>
        <sz val="11.0"/>
      </rPr>
      <t xml:space="preserve">단일 에이전트 추론 및 </t>
    </r>
    <r>
      <rPr>
        <rFont val="Noto Sans"/>
        <b/>
        <color rgb="FFFFFFFF"/>
        <sz val="11.0"/>
      </rPr>
      <t xml:space="preserve">AI </t>
    </r>
    <r>
      <rPr>
        <rFont val="Noto Sans CJK SC"/>
        <b/>
        <color rgb="FFFFFFFF"/>
        <sz val="11.0"/>
      </rPr>
      <t xml:space="preserve">오케스트레이션  —  복합 </t>
    </r>
    <r>
      <rPr>
        <rFont val="Noto Sans"/>
        <b/>
        <color rgb="FFFFFFFF"/>
        <sz val="11.0"/>
      </rPr>
      <t xml:space="preserve">API </t>
    </r>
    <r>
      <rPr>
        <rFont val="Noto Sans CJK SC"/>
        <b/>
        <color rgb="FFFFFFFF"/>
        <sz val="11.0"/>
      </rPr>
      <t>연계 일정 조정 에이전트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</si>
  <si>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</si>
  <si>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</si>
  <si>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</si>
  <si>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</si>
  <si>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</si>
  <si>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</si>
  <si>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</si>
  <si>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</si>
  <si>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</si>
  <si>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</si>
  <si>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</si>
  <si>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</si>
  <si>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</si>
  <si>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</si>
  <si>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</si>
  <si>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2</t>
    </r>
  </si>
  <si>
    <r>
      <rPr>
        <rFont val="Noto Sans CJK SC"/>
        <b/>
        <color rgb="FFFFFFFF"/>
        <sz val="11.0"/>
      </rPr>
      <t xml:space="preserve">■ 교과목 </t>
    </r>
    <r>
      <rPr>
        <rFont val="Noto Sans"/>
        <b/>
        <color rgb="FFFFFFFF"/>
        <sz val="11.0"/>
      </rPr>
      <t xml:space="preserve">3  |  </t>
    </r>
    <r>
      <rPr>
        <rFont val="Noto Sans CJK SC"/>
        <b/>
        <color rgb="FFFFFFFF"/>
        <sz val="11.0"/>
      </rPr>
      <t>멀티 에이전트 협업 및 서비스 운영  —  에러 자가 치유</t>
    </r>
    <r>
      <rPr>
        <rFont val="Noto Sans"/>
        <b/>
        <color rgb="FFFFFFFF"/>
        <sz val="11.0"/>
      </rPr>
      <t xml:space="preserve">(Auto Healing) </t>
    </r>
    <r>
      <rPr>
        <rFont val="Noto Sans CJK SC"/>
        <b/>
        <color rgb="FFFFFFFF"/>
        <sz val="11.0"/>
      </rPr>
      <t>워크플로우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</si>
  <si>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</si>
  <si>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</si>
  <si>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</si>
  <si>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</si>
  <si>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</si>
  <si>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</si>
  <si>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</si>
  <si>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</si>
  <si>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</si>
  <si>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</si>
  <si>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</si>
  <si>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</si>
  <si>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</si>
  <si>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</si>
  <si>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</si>
  <si>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</si>
  <si>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</si>
  <si>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</si>
  <si>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</si>
  <si>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</si>
  <si>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</si>
  <si>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</si>
  <si>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</si>
  <si>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3</t>
    </r>
  </si>
  <si>
    <r>
      <rPr>
        <rFont val="Noto Sans CJK SC"/>
        <b/>
        <color rgb="FFFFFFFF"/>
        <sz val="11.0"/>
      </rPr>
      <t xml:space="preserve">■ 교과목 </t>
    </r>
    <r>
      <rPr>
        <rFont val="Noto Sans"/>
        <b/>
        <color rgb="FFFFFFFF"/>
        <sz val="11.0"/>
      </rPr>
      <t xml:space="preserve">4  |  </t>
    </r>
    <r>
      <rPr>
        <rFont val="Noto Sans CJK SC"/>
        <b/>
        <color rgb="FFFFFFFF"/>
        <sz val="11.0"/>
      </rPr>
      <t>노코드 멀티 에이전트 워크플로우 설계 및 운영  —  노코드</t>
    </r>
    <r>
      <rPr>
        <rFont val="Noto Sans"/>
        <b/>
        <color rgb="FFFFFFFF"/>
        <sz val="11.0"/>
      </rPr>
      <t>·</t>
    </r>
    <r>
      <rPr>
        <rFont val="Noto Sans CJK SC"/>
        <b/>
        <color rgb="FFFFFFFF"/>
        <sz val="11.0"/>
      </rPr>
      <t>로코드 기반 기업형 지능형 기술 지원 자동화</t>
    </r>
    <r>
      <rPr>
        <rFont val="Noto Sans"/>
        <b/>
        <color rgb="FFFFFFFF"/>
        <sz val="11.0"/>
      </rPr>
      <t xml:space="preserve">(Tech Support) </t>
    </r>
    <r>
      <rPr>
        <rFont val="Noto Sans CJK SC"/>
        <b/>
        <color rgb="FFFFFFFF"/>
        <sz val="11.0"/>
      </rPr>
      <t>워크플로우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</si>
  <si>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</si>
  <si>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</si>
  <si>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</si>
  <si>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</si>
  <si>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</si>
  <si>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</si>
  <si>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</si>
  <si>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</si>
  <si>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</si>
  <si>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</si>
  <si>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</si>
  <si>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</si>
  <si>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</si>
  <si>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</si>
  <si>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</si>
  <si>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</si>
  <si>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</si>
  <si>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</si>
  <si>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</si>
  <si>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</si>
  <si>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</si>
  <si>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</si>
  <si>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</si>
  <si>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</si>
  <si>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</si>
  <si>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</si>
  <si>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</si>
  <si>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</si>
  <si>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</si>
  <si>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b/>
        <color rgb="FFFFFFFF"/>
        <sz val="10.0"/>
      </rPr>
      <t>산출물별 완료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건</t>
    </r>
    <r>
      <rPr>
        <rFont val="Noto Sans"/>
        <b/>
        <color rgb="FFFFFFFF"/>
        <sz val="10.0"/>
      </rPr>
      <t>)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</si>
  <si>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</si>
  <si>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"/>
        <color rgb="FF000000"/>
        <sz val="10.0"/>
      </rPr>
      <t xml:space="preserve">RAG </t>
    </r>
    <r>
      <rPr>
        <rFont val="Noto Sans CJK SC"/>
        <color rgb="FF000000"/>
        <sz val="10.0"/>
      </rPr>
      <t>아키텍처 설계서</t>
    </r>
  </si>
  <si>
    <r>
      <rPr>
        <rFont val="Noto Sans CJK SC"/>
        <color rgb="FF000000"/>
        <sz val="10.0"/>
      </rPr>
      <t xml:space="preserve">교과목 </t>
    </r>
    <r>
      <rPr>
        <rFont val="Noto Sans"/>
        <color rgb="FF000000"/>
        <sz val="10.0"/>
      </rPr>
      <t>4</t>
    </r>
  </si>
  <si>
    <r>
      <rPr>
        <rFont val="Noto Sans CJK SC"/>
        <b/>
        <color rgb="FFFFFFFF"/>
        <sz val="12.0"/>
      </rPr>
      <t xml:space="preserve">교과목 </t>
    </r>
    <r>
      <rPr>
        <rFont val="Noto Sans"/>
        <b/>
        <color rgb="FFFFFFFF"/>
        <sz val="12.0"/>
      </rPr>
      <t xml:space="preserve">2 — </t>
    </r>
    <r>
      <rPr>
        <rFont val="Noto Sans CJK SC"/>
        <b/>
        <color rgb="FFFFFFFF"/>
        <sz val="12.0"/>
      </rPr>
      <t xml:space="preserve">복합 </t>
    </r>
    <r>
      <rPr>
        <rFont val="Noto Sans"/>
        <b/>
        <color rgb="FFFFFFFF"/>
        <sz val="12.0"/>
      </rPr>
      <t xml:space="preserve">API </t>
    </r>
    <r>
      <rPr>
        <rFont val="Noto Sans CJK SC"/>
        <b/>
        <color rgb="FFFFFFFF"/>
        <sz val="12.0"/>
      </rPr>
      <t>연계 일정 조정 에이전트</t>
    </r>
  </si>
  <si>
    <r>
      <rPr>
        <rFont val="Noto Sans CJK SC"/>
        <b/>
        <color rgb="FFFFFFFF"/>
        <sz val="10.0"/>
      </rPr>
      <t xml:space="preserve">팀명 </t>
    </r>
    <r>
      <rPr>
        <rFont val="Noto Sans"/>
        <b/>
        <color rgb="FFFFFFFF"/>
        <sz val="10.0"/>
      </rPr>
      <t xml:space="preserve">\ </t>
    </r>
    <r>
      <rPr>
        <rFont val="Noto Sans CJK SC"/>
        <b/>
        <color rgb="FFFFFFFF"/>
        <sz val="10.0"/>
      </rPr>
      <t>산출물</t>
    </r>
  </si>
  <si>
    <r>
      <rPr>
        <rFont val="Noto Sans CJK SC"/>
        <b/>
        <color rgb="FFFFFFFF"/>
        <sz val="10.0"/>
      </rPr>
      <t>산출물별 완료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건</t>
    </r>
    <r>
      <rPr>
        <rFont val="Noto Sans"/>
        <b/>
        <color rgb="FFFFFFFF"/>
        <sz val="10.0"/>
      </rPr>
      <t>)</t>
    </r>
  </si>
  <si>
    <r>
      <rPr>
        <rFont val="Noto Sans CJK SC"/>
        <b/>
        <color rgb="FFFFFFFF"/>
        <sz val="12.0"/>
      </rPr>
      <t xml:space="preserve">교과목 </t>
    </r>
    <r>
      <rPr>
        <rFont val="Noto Sans"/>
        <b/>
        <color rgb="FFFFFFFF"/>
        <sz val="12.0"/>
      </rPr>
      <t xml:space="preserve">3 — </t>
    </r>
    <r>
      <rPr>
        <rFont val="Noto Sans CJK SC"/>
        <b/>
        <color rgb="FFFFFFFF"/>
        <sz val="12.0"/>
      </rPr>
      <t>에러 자가 치유</t>
    </r>
    <r>
      <rPr>
        <rFont val="Noto Sans"/>
        <b/>
        <color rgb="FFFFFFFF"/>
        <sz val="12.0"/>
      </rPr>
      <t xml:space="preserve">(Auto Healing) </t>
    </r>
    <r>
      <rPr>
        <rFont val="Noto Sans CJK SC"/>
        <b/>
        <color rgb="FFFFFFFF"/>
        <sz val="12.0"/>
      </rPr>
      <t>워크플로우</t>
    </r>
  </si>
  <si>
    <r>
      <rPr>
        <rFont val="Noto Sans CJK SC"/>
        <b/>
        <color rgb="FFFFFFFF"/>
        <sz val="10.0"/>
      </rPr>
      <t xml:space="preserve">팀명 </t>
    </r>
    <r>
      <rPr>
        <rFont val="Noto Sans"/>
        <b/>
        <color rgb="FFFFFFFF"/>
        <sz val="10.0"/>
      </rPr>
      <t xml:space="preserve">\ </t>
    </r>
    <r>
      <rPr>
        <rFont val="Noto Sans CJK SC"/>
        <b/>
        <color rgb="FFFFFFFF"/>
        <sz val="10.0"/>
      </rPr>
      <t>산출물</t>
    </r>
  </si>
  <si>
    <r>
      <rPr>
        <rFont val="Noto Sans CJK SC"/>
        <b/>
        <color rgb="FFFFFFFF"/>
        <sz val="10.0"/>
      </rPr>
      <t>산출물별 완료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건</t>
    </r>
    <r>
      <rPr>
        <rFont val="Noto Sans"/>
        <b/>
        <color rgb="FFFFFFFF"/>
        <sz val="10.0"/>
      </rPr>
      <t>)</t>
    </r>
  </si>
  <si>
    <r>
      <rPr>
        <rFont val="Noto Sans CJK SC"/>
        <b/>
        <color rgb="FFFFFFFF"/>
        <sz val="12.0"/>
      </rPr>
      <t xml:space="preserve">교과목 </t>
    </r>
    <r>
      <rPr>
        <rFont val="Noto Sans"/>
        <b/>
        <color rgb="FFFFFFFF"/>
        <sz val="12.0"/>
      </rPr>
      <t xml:space="preserve">4 — </t>
    </r>
    <r>
      <rPr>
        <rFont val="Noto Sans CJK SC"/>
        <b/>
        <color rgb="FFFFFFFF"/>
        <sz val="12.0"/>
      </rPr>
      <t>노코드</t>
    </r>
    <r>
      <rPr>
        <rFont val="Noto Sans"/>
        <b/>
        <color rgb="FFFFFFFF"/>
        <sz val="12.0"/>
      </rPr>
      <t>·</t>
    </r>
    <r>
      <rPr>
        <rFont val="Noto Sans CJK SC"/>
        <b/>
        <color rgb="FFFFFFFF"/>
        <sz val="12.0"/>
      </rPr>
      <t>로코드 기반 기업형 지능형 기술 지원 자동화</t>
    </r>
    <r>
      <rPr>
        <rFont val="Noto Sans"/>
        <b/>
        <color rgb="FFFFFFFF"/>
        <sz val="12.0"/>
      </rPr>
      <t xml:space="preserve">(Tech Support) </t>
    </r>
    <r>
      <rPr>
        <rFont val="Noto Sans CJK SC"/>
        <b/>
        <color rgb="FFFFFFFF"/>
        <sz val="12.0"/>
      </rPr>
      <t>워크플로우</t>
    </r>
  </si>
  <si>
    <r>
      <rPr>
        <rFont val="Noto Sans CJK SC"/>
        <b/>
        <color rgb="FFFFFFFF"/>
        <sz val="10.0"/>
      </rPr>
      <t xml:space="preserve">팀명 </t>
    </r>
    <r>
      <rPr>
        <rFont val="Noto Sans"/>
        <b/>
        <color rgb="FFFFFFFF"/>
        <sz val="10.0"/>
      </rPr>
      <t xml:space="preserve">\ </t>
    </r>
    <r>
      <rPr>
        <rFont val="Noto Sans CJK SC"/>
        <b/>
        <color rgb="FFFFFFFF"/>
        <sz val="10.0"/>
      </rPr>
      <t>산출물</t>
    </r>
  </si>
  <si>
    <r>
      <rPr>
        <rFont val="Noto Sans CJK SC"/>
        <b/>
        <color rgb="FFFFFFFF"/>
        <sz val="10.0"/>
      </rPr>
      <t>산출물별 완료</t>
    </r>
    <r>
      <rPr>
        <rFont val="Noto Sans"/>
        <b/>
        <color rgb="FFFFFFFF"/>
        <sz val="10.0"/>
      </rPr>
      <t>(</t>
    </r>
    <r>
      <rPr>
        <rFont val="Noto Sans CJK SC"/>
        <b/>
        <color rgb="FFFFFFFF"/>
        <sz val="10.0"/>
      </rPr>
      <t>건</t>
    </r>
    <r>
      <rPr>
        <rFont val="Noto Sans"/>
        <b/>
        <color rgb="FFFFFFFF"/>
        <sz val="10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</si>
</sst>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1">
    <font>
      <sz val="11.0"/>
      <color theme="1"/>
      <name val="Calibri"/>
      <scheme val="minor"/>
    </font>
    <font>
      <b/>
      <sz val="16.0"/>
      <color rgb="FF1F3864"/>
      <name val="Noto Sans"/>
    </font>
    <font>
      <b/>
      <sz val="11.0"/>
      <color rgb="FFFFFFFF"/>
      <name val="Noto Sans"/>
    </font>
    <font>
      <sz val="10.0"/>
      <color rgb="FF808080"/>
      <name val="Arial"/>
    </font>
    <font>
      <b/>
      <sz val="12.0"/>
      <color rgb="FF2E5496"/>
      <name val="Noto Sans"/>
    </font>
    <font>
      <sz val="11.0"/>
      <color theme="1"/>
      <name val="Calibri"/>
    </font>
    <font>
      <sz val="9.0"/>
      <color rgb="FF808080"/>
      <name val="Arial"/>
    </font>
    <font>
      <b/>
      <sz val="10.0"/>
      <color rgb="FF000000"/>
      <name val="Noto Sans"/>
    </font>
    <font>
      <b/>
      <sz val="11.0"/>
      <color rgb="FF1F3864"/>
      <name val="Noto Sans"/>
    </font>
    <font>
      <sz val="10.0"/>
      <color rgb="FF000000"/>
      <name val="Noto Sans"/>
    </font>
    <font>
      <b/>
      <sz val="11.0"/>
      <color rgb="FFFFFFFF"/>
      <name val="Arial"/>
    </font>
    <font>
      <b/>
      <sz val="12.0"/>
      <color rgb="FFFFFFFF"/>
      <name val="Noto Sans"/>
    </font>
    <font>
      <sz val="10.0"/>
      <color rgb="FF000000"/>
      <name val="Arial"/>
    </font>
    <font/>
    <font>
      <b/>
      <sz val="11.0"/>
      <color rgb="FF1F3864"/>
      <name val="Arial"/>
    </font>
    <font>
      <b/>
      <sz val="10.0"/>
      <color rgb="FFFFFFFF"/>
      <name val="Noto Sans"/>
    </font>
    <font>
      <b/>
      <sz val="10.0"/>
      <color rgb="FFFFFFFF"/>
      <name val="Arial"/>
    </font>
    <font>
      <b/>
      <sz val="10.0"/>
      <color rgb="FF1F3864"/>
      <name val="Arial"/>
    </font>
    <font>
      <b/>
      <sz val="10.0"/>
      <color rgb="FF000000"/>
      <name val="Arial"/>
    </font>
    <font>
      <sz val="11.0"/>
      <color theme="1"/>
      <name val="Noto Sans"/>
    </font>
    <font>
      <b/>
      <sz val="10.0"/>
      <color rgb="FF2E5496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EEF3FA"/>
        <bgColor rgb="FFEEF3FA"/>
      </patternFill>
    </fill>
    <fill>
      <patternFill patternType="solid">
        <fgColor rgb="FFDDEBF7"/>
        <bgColor rgb="FFDDEBF7"/>
      </patternFill>
    </fill>
    <fill>
      <patternFill patternType="solid">
        <fgColor rgb="FF2E5496"/>
        <bgColor rgb="FF2E5496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9E9"/>
        <bgColor rgb="FFFFF9E9"/>
      </patternFill>
    </fill>
    <fill>
      <patternFill patternType="solid">
        <fgColor rgb="FFF7F9FC"/>
        <bgColor rgb="FFF7F9F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9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n">
        <color rgb="FFD0D0D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2" fillId="3" fontId="4" numFmtId="0" xfId="0" applyBorder="1" applyFill="1" applyFont="1"/>
    <xf borderId="2" fillId="3" fontId="5" numFmtId="0" xfId="0" applyBorder="1" applyFill="1" applyFont="1"/>
    <xf borderId="0" fillId="0" fontId="6" numFmtId="0" xfId="0" applyFont="1"/>
    <xf borderId="0" fillId="0" fontId="7" numFmtId="0" xfId="0" applyAlignment="1" applyFont="1">
      <alignment horizontal="left" shrinkToFit="0" vertical="center" wrapText="1"/>
    </xf>
    <xf borderId="3" fillId="4" fontId="8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3" fillId="4" fontId="9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vertical="center"/>
    </xf>
    <xf borderId="3" fillId="4" fontId="12" numFmtId="0" xfId="0" applyAlignment="1" applyBorder="1" applyFill="1" applyFont="1">
      <alignment horizontal="left" shrinkToFit="0" vertical="center" wrapText="1"/>
    </xf>
    <xf borderId="4" fillId="5" fontId="2" numFmtId="0" xfId="0" applyAlignment="1" applyBorder="1" applyFill="1" applyFont="1">
      <alignment horizontal="left" vertical="center"/>
    </xf>
    <xf borderId="5" fillId="0" fontId="13" numFmtId="0" xfId="0" applyBorder="1" applyFont="1"/>
    <xf borderId="1" fillId="6" fontId="14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6" fillId="0" fontId="13" numFmtId="0" xfId="0" applyBorder="1" applyFont="1"/>
    <xf borderId="1" fillId="6" fontId="9" numFmtId="0" xfId="0" applyAlignment="1" applyBorder="1" applyFill="1" applyFont="1">
      <alignment horizontal="left" shrinkToFit="0" vertical="center" wrapText="1"/>
    </xf>
    <xf borderId="1" fillId="2" fontId="15" numFmtId="0" xfId="0" applyAlignment="1" applyBorder="1" applyFill="1" applyFont="1">
      <alignment horizontal="center" shrinkToFit="0" vertical="center" wrapText="1"/>
    </xf>
    <xf borderId="3" fillId="7" fontId="8" numFmtId="0" xfId="0" applyAlignment="1" applyBorder="1" applyFill="1" applyFont="1">
      <alignment horizontal="center" readingOrder="0" shrinkToFit="0" vertical="center" wrapText="1"/>
    </xf>
    <xf borderId="1" fillId="2" fontId="16" numFmtId="0" xfId="0" applyAlignment="1" applyBorder="1" applyFill="1" applyFont="1">
      <alignment horizontal="center" shrinkToFit="0" vertical="center" wrapText="1"/>
    </xf>
    <xf borderId="1" fillId="6" fontId="12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7" fillId="0" fontId="13" numFmtId="0" xfId="0" applyBorder="1" applyFont="1"/>
    <xf borderId="1" fillId="0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8" fontId="9" numFmtId="0" xfId="0" applyAlignment="1" applyBorder="1" applyFill="1" applyFont="1">
      <alignment horizontal="left" shrinkToFit="0" vertical="center" wrapText="1"/>
    </xf>
    <xf borderId="1" fillId="8" fontId="9" numFmtId="0" xfId="0" applyAlignment="1" applyBorder="1" applyFill="1" applyFont="1">
      <alignment horizontal="center" shrinkToFit="0" vertical="center" wrapText="1"/>
    </xf>
    <xf borderId="1" fillId="8" fontId="12" numFmtId="0" xfId="0" applyAlignment="1" applyBorder="1" applyFill="1" applyFont="1">
      <alignment horizontal="center" shrinkToFit="0" vertical="center" wrapText="1"/>
    </xf>
    <xf borderId="8" fillId="0" fontId="13" numFmtId="0" xfId="0" applyBorder="1" applyFont="1"/>
    <xf borderId="1" fillId="9" fontId="7" numFmtId="0" xfId="0" applyBorder="1" applyFill="1" applyFont="1"/>
    <xf borderId="3" fillId="10" fontId="8" numFmtId="0" xfId="0" applyAlignment="1" applyBorder="1" applyFill="1" applyFont="1">
      <alignment horizontal="left" shrinkToFit="0" vertical="center" wrapText="1"/>
    </xf>
    <xf borderId="0" fillId="0" fontId="19" numFmtId="0" xfId="0" applyFont="1"/>
    <xf borderId="3" fillId="10" fontId="9" numFmtId="0" xfId="0" applyAlignment="1" applyBorder="1" applyFill="1" applyFont="1">
      <alignment horizontal="left" shrinkToFit="0" vertical="center" wrapText="1"/>
    </xf>
    <xf borderId="3" fillId="10" fontId="12" numFmtId="0" xfId="0" applyAlignment="1" applyBorder="1" applyFill="1" applyFont="1">
      <alignment horizontal="left" shrinkToFit="0" vertical="center" wrapText="1"/>
    </xf>
    <xf borderId="3" fillId="11" fontId="8" numFmtId="0" xfId="0" applyAlignment="1" applyBorder="1" applyFill="1" applyFont="1">
      <alignment horizontal="left" shrinkToFit="0" vertical="center" wrapText="1"/>
    </xf>
    <xf borderId="3" fillId="11" fontId="9" numFmtId="0" xfId="0" applyAlignment="1" applyBorder="1" applyFill="1" applyFont="1">
      <alignment horizontal="left" shrinkToFit="0" vertical="center" wrapText="1"/>
    </xf>
    <xf borderId="3" fillId="11" fontId="12" numFmtId="0" xfId="0" applyAlignment="1" applyBorder="1" applyFill="1" applyFont="1">
      <alignment horizontal="left" shrinkToFit="0" vertical="center" wrapText="1"/>
    </xf>
    <xf borderId="3" fillId="7" fontId="8" numFmtId="0" xfId="0" applyAlignment="1" applyBorder="1" applyFill="1" applyFont="1">
      <alignment horizontal="left" shrinkToFit="0" vertical="center" wrapText="1"/>
    </xf>
    <xf borderId="3" fillId="7" fontId="9" numFmtId="0" xfId="0" applyAlignment="1" applyBorder="1" applyFill="1" applyFont="1">
      <alignment horizontal="left" shrinkToFit="0" vertical="center" wrapText="1"/>
    </xf>
    <xf borderId="3" fillId="7" fontId="12" numFmtId="0" xfId="0" applyAlignment="1" applyBorder="1" applyFill="1" applyFont="1">
      <alignment horizontal="left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3" fillId="7" fontId="8" numFmtId="0" xfId="0" applyAlignment="1" applyBorder="1" applyFill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20" numFmtId="164" xfId="0" applyAlignment="1" applyBorder="1" applyFont="1" applyNumberFormat="1">
      <alignment horizontal="center" shrinkToFit="0" vertical="center" wrapText="1"/>
    </xf>
    <xf borderId="3" fillId="7" fontId="14" numFmtId="0" xfId="0" applyAlignment="1" applyBorder="1" applyFill="1" applyFont="1">
      <alignment horizontal="center" shrinkToFit="0" vertical="center" wrapText="1"/>
    </xf>
    <xf borderId="1" fillId="5" fontId="15" numFmtId="0" xfId="0" applyAlignment="1" applyBorder="1" applyFill="1" applyFont="1">
      <alignment horizontal="center" shrinkToFit="0" vertical="center" wrapText="1"/>
    </xf>
    <xf borderId="1" fillId="3" fontId="18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8">
    <dxf>
      <font>
        <color rgb="FF1E6B34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DEBF7"/>
          <bgColor rgb="FFDDEBF7"/>
        </patternFill>
      </fill>
      <border/>
    </dxf>
    <dxf>
      <font>
        <color rgb="FF808080"/>
      </font>
      <fill>
        <patternFill patternType="solid">
          <fgColor rgb="FFF2F2F2"/>
          <bgColor rgb="FFF2F2F2"/>
        </patternFill>
      </fill>
      <border/>
    </dxf>
    <dxf>
      <font>
        <b/>
        <sz val="10.0"/>
        <color rgb="FF1E6B34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0.0"/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4.0"/>
    <col customWidth="1" min="3" max="3" width="96.0"/>
    <col customWidth="1" min="4" max="6" width="8.71"/>
  </cols>
  <sheetData>
    <row r="2">
      <c r="B2" s="1" t="s">
        <v>0</v>
      </c>
    </row>
    <row r="3">
      <c r="B3" s="3" t="s">
        <v>2</v>
      </c>
    </row>
    <row r="6">
      <c r="B6" s="4" t="s">
        <v>6</v>
      </c>
      <c r="C6" s="5"/>
    </row>
    <row r="7">
      <c r="B7" s="7" t="s">
        <v>12</v>
      </c>
      <c r="C7" s="9" t="s">
        <v>17</v>
      </c>
    </row>
    <row r="8">
      <c r="B8" s="7" t="s">
        <v>20</v>
      </c>
      <c r="C8" s="17" t="s">
        <v>23</v>
      </c>
    </row>
    <row r="9">
      <c r="B9" s="7" t="s">
        <v>28</v>
      </c>
      <c r="C9" s="9" t="s">
        <v>30</v>
      </c>
    </row>
    <row r="10">
      <c r="B10" s="7" t="s">
        <v>32</v>
      </c>
      <c r="C10" s="9" t="s">
        <v>34</v>
      </c>
    </row>
    <row r="12">
      <c r="B12" s="4" t="s">
        <v>35</v>
      </c>
      <c r="C12" s="5"/>
    </row>
    <row r="13">
      <c r="B13" s="7" t="s">
        <v>36</v>
      </c>
      <c r="C13" s="9" t="s">
        <v>37</v>
      </c>
    </row>
    <row r="14">
      <c r="B14" s="7" t="s">
        <v>39</v>
      </c>
      <c r="C14" s="17" t="s">
        <v>43</v>
      </c>
    </row>
    <row r="15">
      <c r="B15" s="7" t="s">
        <v>45</v>
      </c>
      <c r="C15" s="9" t="s">
        <v>48</v>
      </c>
    </row>
    <row r="17">
      <c r="B17" s="4" t="s">
        <v>49</v>
      </c>
      <c r="C17" s="5"/>
    </row>
    <row r="18">
      <c r="B18" s="27" t="s">
        <v>50</v>
      </c>
      <c r="C18" s="17" t="s">
        <v>53</v>
      </c>
    </row>
    <row r="19">
      <c r="B19" s="27" t="s">
        <v>54</v>
      </c>
      <c r="C19" s="9" t="s">
        <v>58</v>
      </c>
    </row>
    <row r="20">
      <c r="B20" s="27" t="s">
        <v>60</v>
      </c>
      <c r="C20" s="9" t="s">
        <v>63</v>
      </c>
    </row>
    <row r="21" ht="15.75" customHeight="1">
      <c r="B21" s="27" t="s">
        <v>65</v>
      </c>
      <c r="C21" s="17" t="s">
        <v>68</v>
      </c>
    </row>
    <row r="22" ht="15.75" customHeight="1"/>
    <row r="23" ht="15.75" customHeight="1">
      <c r="B23" s="4" t="s">
        <v>69</v>
      </c>
      <c r="C23" s="5"/>
    </row>
    <row r="24" ht="15.75" customHeight="1">
      <c r="B24" s="7" t="s">
        <v>15</v>
      </c>
      <c r="C24" s="9" t="s">
        <v>72</v>
      </c>
    </row>
    <row r="25" ht="15.75" customHeight="1">
      <c r="B25" s="7" t="s">
        <v>18</v>
      </c>
      <c r="C25" s="9" t="s">
        <v>73</v>
      </c>
    </row>
    <row r="26" ht="15.75" customHeight="1"/>
    <row r="27" ht="15.75" customHeight="1">
      <c r="B27" s="4" t="s">
        <v>75</v>
      </c>
      <c r="C27" s="5"/>
    </row>
    <row r="28" ht="15.75" customHeight="1">
      <c r="B28" s="7" t="s">
        <v>77</v>
      </c>
      <c r="C28" s="9" t="s">
        <v>79</v>
      </c>
    </row>
    <row r="29" ht="15.75" customHeight="1">
      <c r="B29" s="7" t="s">
        <v>81</v>
      </c>
      <c r="C29" s="9" t="s">
        <v>85</v>
      </c>
    </row>
    <row r="30" ht="15.75" customHeight="1">
      <c r="B30" s="7" t="s">
        <v>88</v>
      </c>
      <c r="C30" s="9" t="s">
        <v>92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20.0"/>
    <col customWidth="1" min="3" max="3" width="44.0"/>
    <col customWidth="1" min="4" max="4" width="11.0"/>
    <col customWidth="1" min="5" max="5" width="40.0"/>
    <col customWidth="1" min="6" max="6" width="86.71"/>
  </cols>
  <sheetData>
    <row r="1" ht="24.0" customHeight="1">
      <c r="A1" s="2" t="s">
        <v>1</v>
      </c>
      <c r="B1" s="2" t="s">
        <v>3</v>
      </c>
      <c r="C1" s="2" t="s">
        <v>5</v>
      </c>
      <c r="D1" s="2" t="s">
        <v>8</v>
      </c>
      <c r="E1" s="2" t="s">
        <v>9</v>
      </c>
      <c r="F1" s="2" t="s">
        <v>10</v>
      </c>
    </row>
    <row r="2" ht="108.0" customHeight="1">
      <c r="A2" s="8" t="s">
        <v>13</v>
      </c>
      <c r="B2" s="11" t="s">
        <v>22</v>
      </c>
      <c r="C2" s="13" t="s">
        <v>26</v>
      </c>
      <c r="D2" s="16" t="s">
        <v>27</v>
      </c>
      <c r="E2" s="19" t="s">
        <v>31</v>
      </c>
      <c r="F2" s="23" t="s">
        <v>38</v>
      </c>
    </row>
    <row r="3" ht="108.0" customHeight="1">
      <c r="A3" s="25"/>
      <c r="B3" s="25"/>
      <c r="C3" s="25"/>
      <c r="D3" s="16" t="s">
        <v>41</v>
      </c>
      <c r="E3" s="19" t="s">
        <v>51</v>
      </c>
      <c r="F3" s="23" t="s">
        <v>56</v>
      </c>
    </row>
    <row r="4" ht="108.0" customHeight="1">
      <c r="A4" s="25"/>
      <c r="B4" s="25"/>
      <c r="C4" s="25"/>
      <c r="D4" s="16" t="s">
        <v>42</v>
      </c>
      <c r="E4" s="19" t="s">
        <v>57</v>
      </c>
      <c r="F4" s="23" t="s">
        <v>62</v>
      </c>
    </row>
    <row r="5" ht="108.0" customHeight="1">
      <c r="A5" s="32"/>
      <c r="B5" s="32"/>
      <c r="C5" s="32"/>
      <c r="D5" s="16" t="s">
        <v>44</v>
      </c>
      <c r="E5" s="19" t="s">
        <v>67</v>
      </c>
      <c r="F5" s="23" t="s">
        <v>70</v>
      </c>
    </row>
    <row r="6" ht="108.0" customHeight="1">
      <c r="A6" s="34" t="s">
        <v>71</v>
      </c>
      <c r="B6" s="36" t="s">
        <v>74</v>
      </c>
      <c r="C6" s="37" t="s">
        <v>78</v>
      </c>
      <c r="D6" s="16" t="s">
        <v>82</v>
      </c>
      <c r="E6" s="19" t="s">
        <v>83</v>
      </c>
      <c r="F6" s="23" t="s">
        <v>89</v>
      </c>
    </row>
    <row r="7" ht="108.0" customHeight="1">
      <c r="A7" s="32"/>
      <c r="B7" s="32"/>
      <c r="C7" s="32"/>
      <c r="D7" s="16" t="s">
        <v>90</v>
      </c>
      <c r="E7" s="19" t="s">
        <v>91</v>
      </c>
      <c r="F7" s="23" t="s">
        <v>93</v>
      </c>
    </row>
    <row r="8" ht="108.0" customHeight="1">
      <c r="A8" s="38" t="s">
        <v>94</v>
      </c>
      <c r="B8" s="39" t="s">
        <v>96</v>
      </c>
      <c r="C8" s="40" t="s">
        <v>99</v>
      </c>
      <c r="D8" s="16" t="s">
        <v>100</v>
      </c>
      <c r="E8" s="19" t="s">
        <v>101</v>
      </c>
      <c r="F8" s="23" t="s">
        <v>102</v>
      </c>
    </row>
    <row r="9">
      <c r="A9" s="25"/>
      <c r="B9" s="25"/>
      <c r="C9" s="25"/>
      <c r="D9" s="16" t="s">
        <v>103</v>
      </c>
      <c r="E9" s="19" t="s">
        <v>104</v>
      </c>
      <c r="F9" s="23" t="s">
        <v>106</v>
      </c>
    </row>
    <row r="10">
      <c r="A10" s="32"/>
      <c r="B10" s="32"/>
      <c r="C10" s="32"/>
      <c r="D10" s="16" t="s">
        <v>107</v>
      </c>
      <c r="E10" s="19" t="s">
        <v>108</v>
      </c>
      <c r="F10" s="23" t="s">
        <v>109</v>
      </c>
    </row>
    <row r="11" ht="83.25" customHeight="1">
      <c r="A11" s="41" t="s">
        <v>110</v>
      </c>
      <c r="B11" s="42" t="s">
        <v>111</v>
      </c>
      <c r="C11" s="43" t="s">
        <v>112</v>
      </c>
      <c r="D11" s="16" t="s">
        <v>113</v>
      </c>
      <c r="E11" s="19" t="s">
        <v>114</v>
      </c>
      <c r="F11" s="23" t="s">
        <v>115</v>
      </c>
    </row>
    <row r="12">
      <c r="A12" s="25"/>
      <c r="B12" s="25"/>
      <c r="C12" s="25"/>
      <c r="D12" s="16" t="s">
        <v>116</v>
      </c>
      <c r="E12" s="19" t="s">
        <v>117</v>
      </c>
      <c r="F12" s="23" t="s">
        <v>120</v>
      </c>
    </row>
    <row r="13">
      <c r="A13" s="32"/>
      <c r="B13" s="32"/>
      <c r="C13" s="32"/>
      <c r="D13" s="16" t="s">
        <v>121</v>
      </c>
      <c r="E13" s="19" t="s">
        <v>122</v>
      </c>
      <c r="F13" s="23" t="s">
        <v>123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8:B10"/>
    <mergeCell ref="C8:C10"/>
    <mergeCell ref="A11:A13"/>
    <mergeCell ref="B11:B13"/>
    <mergeCell ref="C11:C13"/>
    <mergeCell ref="A2:A5"/>
    <mergeCell ref="B2:B5"/>
    <mergeCell ref="C2:C5"/>
    <mergeCell ref="A6:A7"/>
    <mergeCell ref="B6:B7"/>
    <mergeCell ref="C6:C7"/>
    <mergeCell ref="A8:A1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11.0"/>
    <col customWidth="1" min="4" max="4" width="40.0"/>
    <col customWidth="1" min="5" max="5" width="34.0"/>
    <col customWidth="1" min="6" max="6" width="11.0"/>
    <col customWidth="1" min="7" max="7" width="12.0"/>
    <col customWidth="1" min="8" max="8" width="11.0"/>
    <col customWidth="1" min="9" max="9" width="30.0"/>
    <col customWidth="1" hidden="1" min="10" max="10" width="4.0"/>
  </cols>
  <sheetData>
    <row r="1" ht="24.0" customHeight="1">
      <c r="A1" s="2" t="s">
        <v>7</v>
      </c>
      <c r="B1" s="2" t="s">
        <v>1</v>
      </c>
      <c r="C1" s="2" t="s">
        <v>8</v>
      </c>
      <c r="D1" s="2" t="s">
        <v>9</v>
      </c>
      <c r="E1" s="2" t="s">
        <v>14</v>
      </c>
      <c r="F1" s="2" t="s">
        <v>15</v>
      </c>
      <c r="G1" s="2" t="s">
        <v>16</v>
      </c>
      <c r="H1" s="2" t="s">
        <v>18</v>
      </c>
      <c r="I1" s="2" t="s">
        <v>19</v>
      </c>
      <c r="J1" s="10" t="s">
        <v>21</v>
      </c>
    </row>
    <row r="2" ht="21.75" customHeight="1">
      <c r="A2" s="14" t="s">
        <v>25</v>
      </c>
      <c r="B2" s="15"/>
      <c r="C2" s="15"/>
      <c r="D2" s="15"/>
      <c r="E2" s="15"/>
      <c r="F2" s="15"/>
      <c r="G2" s="15"/>
      <c r="H2" s="15"/>
      <c r="I2" s="18"/>
    </row>
    <row r="3" ht="30.0" customHeight="1">
      <c r="A3" s="21" t="s">
        <v>29</v>
      </c>
      <c r="B3" s="24" t="s">
        <v>40</v>
      </c>
      <c r="C3" s="26" t="s">
        <v>27</v>
      </c>
      <c r="D3" s="28" t="s">
        <v>52</v>
      </c>
      <c r="E3" s="29" t="s">
        <v>55</v>
      </c>
      <c r="F3" s="30" t="s">
        <v>59</v>
      </c>
      <c r="G3" s="31" t="s">
        <v>61</v>
      </c>
      <c r="H3" s="30" t="s">
        <v>64</v>
      </c>
      <c r="I3" s="29" t="s">
        <v>66</v>
      </c>
      <c r="J3" s="35" t="str">
        <f>A3&amp;"|"&amp;C3</f>
        <v>예시팀명
(팀원 이름)|P1-1</v>
      </c>
    </row>
    <row r="4" ht="30.0" customHeight="1">
      <c r="A4" s="25"/>
      <c r="B4" s="24" t="s">
        <v>76</v>
      </c>
      <c r="C4" s="26" t="s">
        <v>41</v>
      </c>
      <c r="D4" s="28" t="s">
        <v>51</v>
      </c>
      <c r="E4" s="29" t="s">
        <v>80</v>
      </c>
      <c r="F4" s="30" t="s">
        <v>59</v>
      </c>
      <c r="G4" s="31" t="s">
        <v>84</v>
      </c>
      <c r="H4" s="30" t="s">
        <v>86</v>
      </c>
      <c r="I4" s="29" t="s">
        <v>87</v>
      </c>
      <c r="J4" s="35" t="str">
        <f>A3&amp;"|"&amp;C4</f>
        <v>예시팀명
(팀원 이름)|P1-2</v>
      </c>
    </row>
    <row r="5" ht="30.0" customHeight="1">
      <c r="A5" s="25"/>
      <c r="B5" s="24" t="s">
        <v>95</v>
      </c>
      <c r="C5" s="26" t="s">
        <v>42</v>
      </c>
      <c r="D5" s="28" t="s">
        <v>57</v>
      </c>
      <c r="E5" s="29"/>
      <c r="F5" s="30" t="s">
        <v>97</v>
      </c>
      <c r="G5" s="31"/>
      <c r="H5" s="30" t="s">
        <v>98</v>
      </c>
      <c r="I5" s="29"/>
      <c r="J5" s="35" t="str">
        <f>A3&amp;"|"&amp;C5</f>
        <v>예시팀명
(팀원 이름)|P1-3</v>
      </c>
    </row>
    <row r="6" ht="30.0" customHeight="1">
      <c r="A6" s="32"/>
      <c r="B6" s="24" t="s">
        <v>105</v>
      </c>
      <c r="C6" s="26" t="s">
        <v>44</v>
      </c>
      <c r="D6" s="28" t="s">
        <v>67</v>
      </c>
      <c r="E6" s="29"/>
      <c r="F6" s="30" t="s">
        <v>97</v>
      </c>
      <c r="G6" s="31"/>
      <c r="H6" s="30" t="s">
        <v>98</v>
      </c>
      <c r="I6" s="29"/>
      <c r="J6" s="35" t="str">
        <f>A3&amp;"|"&amp;C6</f>
        <v>예시팀명
(팀원 이름)|P1-4</v>
      </c>
    </row>
    <row r="7" ht="30.0" customHeight="1">
      <c r="A7" s="45"/>
      <c r="B7" s="24" t="s">
        <v>118</v>
      </c>
      <c r="C7" s="26" t="s">
        <v>27</v>
      </c>
      <c r="D7" s="28" t="s">
        <v>119</v>
      </c>
      <c r="E7" s="29"/>
      <c r="F7" s="30" t="s">
        <v>97</v>
      </c>
      <c r="G7" s="31"/>
      <c r="H7" s="30" t="s">
        <v>98</v>
      </c>
      <c r="I7" s="29"/>
      <c r="J7" s="35" t="str">
        <f>A7&amp;"|"&amp;C7</f>
        <v>|P1-1</v>
      </c>
    </row>
    <row r="8" ht="30.0" customHeight="1">
      <c r="A8" s="25"/>
      <c r="B8" s="24" t="s">
        <v>124</v>
      </c>
      <c r="C8" s="26" t="s">
        <v>41</v>
      </c>
      <c r="D8" s="28" t="s">
        <v>51</v>
      </c>
      <c r="E8" s="29"/>
      <c r="F8" s="30" t="s">
        <v>97</v>
      </c>
      <c r="G8" s="31"/>
      <c r="H8" s="30" t="s">
        <v>98</v>
      </c>
      <c r="I8" s="29"/>
      <c r="J8" s="35" t="str">
        <f>A7&amp;"|"&amp;C8</f>
        <v>|P1-2</v>
      </c>
    </row>
    <row r="9" ht="30.0" customHeight="1">
      <c r="A9" s="25"/>
      <c r="B9" s="24" t="s">
        <v>125</v>
      </c>
      <c r="C9" s="26" t="s">
        <v>42</v>
      </c>
      <c r="D9" s="28" t="s">
        <v>57</v>
      </c>
      <c r="E9" s="29"/>
      <c r="F9" s="30" t="s">
        <v>97</v>
      </c>
      <c r="G9" s="31"/>
      <c r="H9" s="30" t="s">
        <v>98</v>
      </c>
      <c r="I9" s="29"/>
      <c r="J9" s="35" t="str">
        <f>A7&amp;"|"&amp;C9</f>
        <v>|P1-3</v>
      </c>
    </row>
    <row r="10" ht="30.0" customHeight="1">
      <c r="A10" s="32"/>
      <c r="B10" s="24" t="s">
        <v>126</v>
      </c>
      <c r="C10" s="26" t="s">
        <v>44</v>
      </c>
      <c r="D10" s="28" t="s">
        <v>67</v>
      </c>
      <c r="E10" s="29"/>
      <c r="F10" s="30" t="s">
        <v>97</v>
      </c>
      <c r="G10" s="31"/>
      <c r="H10" s="30" t="s">
        <v>98</v>
      </c>
      <c r="I10" s="29"/>
      <c r="J10" s="35" t="str">
        <f>A7&amp;"|"&amp;C10</f>
        <v>|P1-4</v>
      </c>
    </row>
    <row r="11" ht="30.0" customHeight="1">
      <c r="A11" s="45"/>
      <c r="B11" s="24" t="s">
        <v>127</v>
      </c>
      <c r="C11" s="26" t="s">
        <v>27</v>
      </c>
      <c r="D11" s="28" t="s">
        <v>128</v>
      </c>
      <c r="E11" s="29"/>
      <c r="F11" s="30" t="s">
        <v>97</v>
      </c>
      <c r="G11" s="31"/>
      <c r="H11" s="30" t="s">
        <v>98</v>
      </c>
      <c r="I11" s="29"/>
      <c r="J11" s="35" t="str">
        <f>A11&amp;"|"&amp;C11</f>
        <v>|P1-1</v>
      </c>
    </row>
    <row r="12" ht="30.0" customHeight="1">
      <c r="A12" s="25"/>
      <c r="B12" s="24" t="s">
        <v>129</v>
      </c>
      <c r="C12" s="26" t="s">
        <v>41</v>
      </c>
      <c r="D12" s="28" t="s">
        <v>51</v>
      </c>
      <c r="E12" s="29"/>
      <c r="F12" s="30" t="s">
        <v>97</v>
      </c>
      <c r="G12" s="31"/>
      <c r="H12" s="30" t="s">
        <v>98</v>
      </c>
      <c r="I12" s="29"/>
      <c r="J12" s="35" t="str">
        <f>A11&amp;"|"&amp;C12</f>
        <v>|P1-2</v>
      </c>
    </row>
    <row r="13" ht="30.0" customHeight="1">
      <c r="A13" s="25"/>
      <c r="B13" s="24" t="s">
        <v>130</v>
      </c>
      <c r="C13" s="26" t="s">
        <v>42</v>
      </c>
      <c r="D13" s="28" t="s">
        <v>57</v>
      </c>
      <c r="E13" s="29"/>
      <c r="F13" s="30" t="s">
        <v>97</v>
      </c>
      <c r="G13" s="31"/>
      <c r="H13" s="30" t="s">
        <v>98</v>
      </c>
      <c r="I13" s="29"/>
      <c r="J13" s="35" t="str">
        <f>A11&amp;"|"&amp;C13</f>
        <v>|P1-3</v>
      </c>
    </row>
    <row r="14" ht="30.0" customHeight="1">
      <c r="A14" s="32"/>
      <c r="B14" s="24" t="s">
        <v>131</v>
      </c>
      <c r="C14" s="26" t="s">
        <v>44</v>
      </c>
      <c r="D14" s="28" t="s">
        <v>67</v>
      </c>
      <c r="E14" s="29"/>
      <c r="F14" s="30" t="s">
        <v>97</v>
      </c>
      <c r="G14" s="31"/>
      <c r="H14" s="30" t="s">
        <v>98</v>
      </c>
      <c r="I14" s="29"/>
      <c r="J14" s="35" t="str">
        <f>A11&amp;"|"&amp;C14</f>
        <v>|P1-4</v>
      </c>
    </row>
    <row r="15" ht="30.0" customHeight="1">
      <c r="A15" s="45"/>
      <c r="B15" s="24" t="s">
        <v>132</v>
      </c>
      <c r="C15" s="26" t="s">
        <v>27</v>
      </c>
      <c r="D15" s="28" t="s">
        <v>133</v>
      </c>
      <c r="E15" s="29"/>
      <c r="F15" s="30" t="s">
        <v>97</v>
      </c>
      <c r="G15" s="31"/>
      <c r="H15" s="30" t="s">
        <v>98</v>
      </c>
      <c r="I15" s="29"/>
      <c r="J15" s="35" t="str">
        <f>A15&amp;"|"&amp;C15</f>
        <v>|P1-1</v>
      </c>
    </row>
    <row r="16" ht="30.0" customHeight="1">
      <c r="A16" s="25"/>
      <c r="B16" s="24" t="s">
        <v>134</v>
      </c>
      <c r="C16" s="26" t="s">
        <v>41</v>
      </c>
      <c r="D16" s="28" t="s">
        <v>51</v>
      </c>
      <c r="E16" s="29"/>
      <c r="F16" s="30" t="s">
        <v>97</v>
      </c>
      <c r="G16" s="31"/>
      <c r="H16" s="30" t="s">
        <v>98</v>
      </c>
      <c r="I16" s="29"/>
      <c r="J16" s="35" t="str">
        <f>A15&amp;"|"&amp;C16</f>
        <v>|P1-2</v>
      </c>
    </row>
    <row r="17" ht="30.0" customHeight="1">
      <c r="A17" s="25"/>
      <c r="B17" s="24" t="s">
        <v>135</v>
      </c>
      <c r="C17" s="26" t="s">
        <v>42</v>
      </c>
      <c r="D17" s="28" t="s">
        <v>57</v>
      </c>
      <c r="E17" s="29"/>
      <c r="F17" s="30" t="s">
        <v>97</v>
      </c>
      <c r="G17" s="31"/>
      <c r="H17" s="30" t="s">
        <v>98</v>
      </c>
      <c r="I17" s="29"/>
      <c r="J17" s="35" t="str">
        <f>A15&amp;"|"&amp;C17</f>
        <v>|P1-3</v>
      </c>
    </row>
    <row r="18" ht="30.0" customHeight="1">
      <c r="A18" s="32"/>
      <c r="B18" s="24" t="s">
        <v>136</v>
      </c>
      <c r="C18" s="26" t="s">
        <v>44</v>
      </c>
      <c r="D18" s="28" t="s">
        <v>67</v>
      </c>
      <c r="E18" s="29"/>
      <c r="F18" s="30" t="s">
        <v>97</v>
      </c>
      <c r="G18" s="31"/>
      <c r="H18" s="30" t="s">
        <v>98</v>
      </c>
      <c r="I18" s="29"/>
      <c r="J18" s="35" t="str">
        <f>A15&amp;"|"&amp;C18</f>
        <v>|P1-4</v>
      </c>
    </row>
    <row r="19" ht="21.75" customHeight="1">
      <c r="A19" s="45"/>
      <c r="B19" s="24" t="s">
        <v>137</v>
      </c>
      <c r="C19" s="26" t="s">
        <v>27</v>
      </c>
      <c r="D19" s="28" t="s">
        <v>138</v>
      </c>
      <c r="E19" s="29"/>
      <c r="F19" s="30" t="s">
        <v>97</v>
      </c>
      <c r="G19" s="31"/>
      <c r="H19" s="30" t="s">
        <v>98</v>
      </c>
      <c r="I19" s="29"/>
      <c r="J19" s="35" t="str">
        <f>A19&amp;"|"&amp;C19</f>
        <v>|P1-1</v>
      </c>
    </row>
    <row r="20" ht="30.0" customHeight="1">
      <c r="A20" s="25"/>
      <c r="B20" s="24" t="s">
        <v>139</v>
      </c>
      <c r="C20" s="26" t="s">
        <v>41</v>
      </c>
      <c r="D20" s="28" t="s">
        <v>51</v>
      </c>
      <c r="E20" s="29"/>
      <c r="F20" s="30" t="s">
        <v>97</v>
      </c>
      <c r="G20" s="31"/>
      <c r="H20" s="30" t="s">
        <v>98</v>
      </c>
      <c r="I20" s="29"/>
      <c r="J20" s="35" t="str">
        <f>A19&amp;"|"&amp;C20</f>
        <v>|P1-2</v>
      </c>
    </row>
    <row r="21" ht="30.0" customHeight="1">
      <c r="A21" s="25"/>
      <c r="B21" s="24" t="s">
        <v>140</v>
      </c>
      <c r="C21" s="26" t="s">
        <v>42</v>
      </c>
      <c r="D21" s="28" t="s">
        <v>57</v>
      </c>
      <c r="E21" s="29"/>
      <c r="F21" s="30" t="s">
        <v>97</v>
      </c>
      <c r="G21" s="31"/>
      <c r="H21" s="30" t="s">
        <v>98</v>
      </c>
      <c r="I21" s="29"/>
      <c r="J21" s="35" t="str">
        <f>A19&amp;"|"&amp;C21</f>
        <v>|P1-3</v>
      </c>
    </row>
    <row r="22" ht="30.0" customHeight="1">
      <c r="A22" s="32"/>
      <c r="B22" s="24" t="s">
        <v>141</v>
      </c>
      <c r="C22" s="26" t="s">
        <v>44</v>
      </c>
      <c r="D22" s="28" t="s">
        <v>67</v>
      </c>
      <c r="E22" s="29"/>
      <c r="F22" s="30" t="s">
        <v>97</v>
      </c>
      <c r="G22" s="31"/>
      <c r="H22" s="30" t="s">
        <v>98</v>
      </c>
      <c r="I22" s="29"/>
      <c r="J22" s="35" t="str">
        <f>A19&amp;"|"&amp;C22</f>
        <v>|P1-4</v>
      </c>
    </row>
    <row r="23" ht="30.0" customHeight="1">
      <c r="A23" s="45"/>
      <c r="B23" s="24" t="s">
        <v>142</v>
      </c>
      <c r="C23" s="26" t="s">
        <v>27</v>
      </c>
      <c r="D23" s="28" t="s">
        <v>143</v>
      </c>
      <c r="E23" s="29"/>
      <c r="F23" s="30" t="s">
        <v>97</v>
      </c>
      <c r="G23" s="31"/>
      <c r="H23" s="30" t="s">
        <v>98</v>
      </c>
      <c r="I23" s="29"/>
      <c r="J23" s="35" t="str">
        <f>A23&amp;"|"&amp;C23</f>
        <v>|P1-1</v>
      </c>
    </row>
    <row r="24" ht="30.0" customHeight="1">
      <c r="A24" s="25"/>
      <c r="B24" s="24" t="s">
        <v>144</v>
      </c>
      <c r="C24" s="26" t="s">
        <v>41</v>
      </c>
      <c r="D24" s="28" t="s">
        <v>51</v>
      </c>
      <c r="E24" s="29"/>
      <c r="F24" s="30" t="s">
        <v>97</v>
      </c>
      <c r="G24" s="31"/>
      <c r="H24" s="30" t="s">
        <v>98</v>
      </c>
      <c r="I24" s="29"/>
      <c r="J24" s="35" t="str">
        <f>A23&amp;"|"&amp;C24</f>
        <v>|P1-2</v>
      </c>
    </row>
    <row r="25" ht="30.0" customHeight="1">
      <c r="A25" s="25"/>
      <c r="B25" s="24" t="s">
        <v>145</v>
      </c>
      <c r="C25" s="26" t="s">
        <v>42</v>
      </c>
      <c r="D25" s="28" t="s">
        <v>57</v>
      </c>
      <c r="E25" s="29"/>
      <c r="F25" s="30" t="s">
        <v>97</v>
      </c>
      <c r="G25" s="31"/>
      <c r="H25" s="30" t="s">
        <v>98</v>
      </c>
      <c r="I25" s="29"/>
      <c r="J25" s="35" t="str">
        <f>A23&amp;"|"&amp;C25</f>
        <v>|P1-3</v>
      </c>
    </row>
    <row r="26" ht="30.0" customHeight="1">
      <c r="A26" s="32"/>
      <c r="B26" s="24" t="s">
        <v>146</v>
      </c>
      <c r="C26" s="26" t="s">
        <v>44</v>
      </c>
      <c r="D26" s="28" t="s">
        <v>67</v>
      </c>
      <c r="E26" s="29"/>
      <c r="F26" s="30" t="s">
        <v>97</v>
      </c>
      <c r="G26" s="31"/>
      <c r="H26" s="30" t="s">
        <v>98</v>
      </c>
      <c r="I26" s="29"/>
      <c r="J26" s="35" t="str">
        <f>A23&amp;"|"&amp;C26</f>
        <v>|P1-4</v>
      </c>
    </row>
    <row r="27" ht="30.0" customHeight="1">
      <c r="A27" s="45"/>
      <c r="B27" s="24" t="s">
        <v>147</v>
      </c>
      <c r="C27" s="26" t="s">
        <v>27</v>
      </c>
      <c r="D27" s="28" t="s">
        <v>148</v>
      </c>
      <c r="E27" s="29"/>
      <c r="F27" s="30" t="s">
        <v>97</v>
      </c>
      <c r="G27" s="31"/>
      <c r="H27" s="30" t="s">
        <v>98</v>
      </c>
      <c r="I27" s="29"/>
      <c r="J27" s="35" t="str">
        <f>A27&amp;"|"&amp;C27</f>
        <v>|P1-1</v>
      </c>
    </row>
    <row r="28" ht="30.0" customHeight="1">
      <c r="A28" s="25"/>
      <c r="B28" s="24" t="s">
        <v>149</v>
      </c>
      <c r="C28" s="26" t="s">
        <v>41</v>
      </c>
      <c r="D28" s="28" t="s">
        <v>51</v>
      </c>
      <c r="E28" s="29"/>
      <c r="F28" s="30" t="s">
        <v>97</v>
      </c>
      <c r="G28" s="31"/>
      <c r="H28" s="30" t="s">
        <v>98</v>
      </c>
      <c r="I28" s="29"/>
      <c r="J28" s="35" t="str">
        <f>A27&amp;"|"&amp;C28</f>
        <v>|P1-2</v>
      </c>
    </row>
    <row r="29" ht="30.0" customHeight="1">
      <c r="A29" s="25"/>
      <c r="B29" s="24" t="s">
        <v>150</v>
      </c>
      <c r="C29" s="26" t="s">
        <v>42</v>
      </c>
      <c r="D29" s="28" t="s">
        <v>57</v>
      </c>
      <c r="E29" s="29"/>
      <c r="F29" s="30" t="s">
        <v>97</v>
      </c>
      <c r="G29" s="31"/>
      <c r="H29" s="30" t="s">
        <v>98</v>
      </c>
      <c r="I29" s="29"/>
      <c r="J29" s="35" t="str">
        <f>A27&amp;"|"&amp;C29</f>
        <v>|P1-3</v>
      </c>
    </row>
    <row r="30" ht="30.0" customHeight="1">
      <c r="A30" s="32"/>
      <c r="B30" s="24" t="s">
        <v>151</v>
      </c>
      <c r="C30" s="26" t="s">
        <v>44</v>
      </c>
      <c r="D30" s="28" t="s">
        <v>67</v>
      </c>
      <c r="E30" s="29"/>
      <c r="F30" s="30" t="s">
        <v>97</v>
      </c>
      <c r="G30" s="31"/>
      <c r="H30" s="30" t="s">
        <v>98</v>
      </c>
      <c r="I30" s="29"/>
      <c r="J30" s="35" t="str">
        <f>A27&amp;"|"&amp;C30</f>
        <v>|P1-4</v>
      </c>
    </row>
    <row r="31" ht="30.0" customHeight="1">
      <c r="A31" s="45"/>
      <c r="B31" s="24" t="s">
        <v>152</v>
      </c>
      <c r="C31" s="26" t="s">
        <v>27</v>
      </c>
      <c r="D31" s="28" t="s">
        <v>153</v>
      </c>
      <c r="E31" s="29"/>
      <c r="F31" s="30" t="s">
        <v>97</v>
      </c>
      <c r="G31" s="31"/>
      <c r="H31" s="30" t="s">
        <v>98</v>
      </c>
      <c r="I31" s="29"/>
      <c r="J31" s="35" t="str">
        <f>A31&amp;"|"&amp;C31</f>
        <v>|P1-1</v>
      </c>
    </row>
    <row r="32" ht="30.0" customHeight="1">
      <c r="A32" s="25"/>
      <c r="B32" s="24" t="s">
        <v>154</v>
      </c>
      <c r="C32" s="26" t="s">
        <v>41</v>
      </c>
      <c r="D32" s="28" t="s">
        <v>51</v>
      </c>
      <c r="E32" s="29"/>
      <c r="F32" s="30" t="s">
        <v>97</v>
      </c>
      <c r="G32" s="31"/>
      <c r="H32" s="30" t="s">
        <v>98</v>
      </c>
      <c r="I32" s="29"/>
      <c r="J32" s="35" t="str">
        <f>A31&amp;"|"&amp;C32</f>
        <v>|P1-2</v>
      </c>
    </row>
    <row r="33" ht="30.0" customHeight="1">
      <c r="A33" s="25"/>
      <c r="B33" s="24" t="s">
        <v>155</v>
      </c>
      <c r="C33" s="26" t="s">
        <v>42</v>
      </c>
      <c r="D33" s="28" t="s">
        <v>57</v>
      </c>
      <c r="E33" s="29"/>
      <c r="F33" s="30" t="s">
        <v>97</v>
      </c>
      <c r="G33" s="31"/>
      <c r="H33" s="30" t="s">
        <v>98</v>
      </c>
      <c r="I33" s="29"/>
      <c r="J33" s="35" t="str">
        <f>A31&amp;"|"&amp;C33</f>
        <v>|P1-3</v>
      </c>
    </row>
    <row r="34" ht="30.0" customHeight="1">
      <c r="A34" s="32"/>
      <c r="B34" s="24" t="s">
        <v>156</v>
      </c>
      <c r="C34" s="26" t="s">
        <v>44</v>
      </c>
      <c r="D34" s="28" t="s">
        <v>67</v>
      </c>
      <c r="E34" s="29"/>
      <c r="F34" s="30" t="s">
        <v>97</v>
      </c>
      <c r="G34" s="31"/>
      <c r="H34" s="30" t="s">
        <v>98</v>
      </c>
      <c r="I34" s="29"/>
      <c r="J34" s="35" t="str">
        <f>A31&amp;"|"&amp;C34</f>
        <v>|P1-4</v>
      </c>
    </row>
    <row r="35" ht="30.0" customHeight="1">
      <c r="A35" s="14" t="s">
        <v>157</v>
      </c>
      <c r="B35" s="15"/>
      <c r="C35" s="15"/>
      <c r="D35" s="15"/>
      <c r="E35" s="15"/>
      <c r="F35" s="15"/>
      <c r="G35" s="15"/>
      <c r="H35" s="15"/>
      <c r="I35" s="18"/>
    </row>
    <row r="36" ht="21.75" customHeight="1">
      <c r="A36" s="48"/>
      <c r="B36" s="24" t="s">
        <v>158</v>
      </c>
      <c r="C36" s="26" t="s">
        <v>82</v>
      </c>
      <c r="D36" s="28" t="s">
        <v>83</v>
      </c>
      <c r="E36" s="29"/>
      <c r="F36" s="30" t="s">
        <v>97</v>
      </c>
      <c r="G36" s="31"/>
      <c r="H36" s="30" t="s">
        <v>98</v>
      </c>
      <c r="I36" s="29"/>
      <c r="J36" s="35" t="str">
        <f>A36&amp;"|"&amp;C36</f>
        <v>|P2-1</v>
      </c>
    </row>
    <row r="37" ht="30.0" customHeight="1">
      <c r="A37" s="32"/>
      <c r="B37" s="24" t="s">
        <v>159</v>
      </c>
      <c r="C37" s="26" t="s">
        <v>90</v>
      </c>
      <c r="D37" s="28" t="s">
        <v>91</v>
      </c>
      <c r="E37" s="29"/>
      <c r="F37" s="30" t="s">
        <v>97</v>
      </c>
      <c r="G37" s="31"/>
      <c r="H37" s="30" t="s">
        <v>98</v>
      </c>
      <c r="I37" s="29"/>
      <c r="J37" s="35" t="str">
        <f>A36&amp;"|"&amp;C37</f>
        <v>|P2-2</v>
      </c>
    </row>
    <row r="38" ht="30.0" customHeight="1">
      <c r="A38" s="48"/>
      <c r="B38" s="24" t="s">
        <v>160</v>
      </c>
      <c r="C38" s="26" t="s">
        <v>82</v>
      </c>
      <c r="D38" s="28" t="s">
        <v>83</v>
      </c>
      <c r="E38" s="29"/>
      <c r="F38" s="30" t="s">
        <v>97</v>
      </c>
      <c r="G38" s="31"/>
      <c r="H38" s="30" t="s">
        <v>98</v>
      </c>
      <c r="I38" s="29"/>
      <c r="J38" s="35" t="str">
        <f>A38&amp;"|"&amp;C38</f>
        <v>|P2-1</v>
      </c>
    </row>
    <row r="39" ht="30.0" customHeight="1">
      <c r="A39" s="32"/>
      <c r="B39" s="24" t="s">
        <v>161</v>
      </c>
      <c r="C39" s="26" t="s">
        <v>90</v>
      </c>
      <c r="D39" s="28" t="s">
        <v>91</v>
      </c>
      <c r="E39" s="29"/>
      <c r="F39" s="30" t="s">
        <v>97</v>
      </c>
      <c r="G39" s="31"/>
      <c r="H39" s="30" t="s">
        <v>98</v>
      </c>
      <c r="I39" s="29"/>
      <c r="J39" s="35" t="str">
        <f>A38&amp;"|"&amp;C39</f>
        <v>|P2-2</v>
      </c>
    </row>
    <row r="40" ht="30.0" customHeight="1">
      <c r="A40" s="48"/>
      <c r="B40" s="24" t="s">
        <v>162</v>
      </c>
      <c r="C40" s="26" t="s">
        <v>82</v>
      </c>
      <c r="D40" s="28" t="s">
        <v>83</v>
      </c>
      <c r="E40" s="29"/>
      <c r="F40" s="30" t="s">
        <v>97</v>
      </c>
      <c r="G40" s="31"/>
      <c r="H40" s="30" t="s">
        <v>98</v>
      </c>
      <c r="I40" s="29"/>
      <c r="J40" s="35" t="str">
        <f>A40&amp;"|"&amp;C40</f>
        <v>|P2-1</v>
      </c>
    </row>
    <row r="41" ht="30.0" customHeight="1">
      <c r="A41" s="32"/>
      <c r="B41" s="24" t="s">
        <v>163</v>
      </c>
      <c r="C41" s="26" t="s">
        <v>90</v>
      </c>
      <c r="D41" s="28" t="s">
        <v>91</v>
      </c>
      <c r="E41" s="29"/>
      <c r="F41" s="30" t="s">
        <v>97</v>
      </c>
      <c r="G41" s="31"/>
      <c r="H41" s="30" t="s">
        <v>98</v>
      </c>
      <c r="I41" s="29"/>
      <c r="J41" s="35" t="str">
        <f>A40&amp;"|"&amp;C41</f>
        <v>|P2-2</v>
      </c>
    </row>
    <row r="42" ht="30.0" customHeight="1">
      <c r="A42" s="48"/>
      <c r="B42" s="24" t="s">
        <v>164</v>
      </c>
      <c r="C42" s="26" t="s">
        <v>82</v>
      </c>
      <c r="D42" s="28" t="s">
        <v>83</v>
      </c>
      <c r="E42" s="29"/>
      <c r="F42" s="30" t="s">
        <v>97</v>
      </c>
      <c r="G42" s="31"/>
      <c r="H42" s="30" t="s">
        <v>98</v>
      </c>
      <c r="I42" s="29"/>
      <c r="J42" s="35" t="str">
        <f>A42&amp;"|"&amp;C42</f>
        <v>|P2-1</v>
      </c>
    </row>
    <row r="43" ht="30.0" customHeight="1">
      <c r="A43" s="32"/>
      <c r="B43" s="24" t="s">
        <v>165</v>
      </c>
      <c r="C43" s="26" t="s">
        <v>90</v>
      </c>
      <c r="D43" s="28" t="s">
        <v>91</v>
      </c>
      <c r="E43" s="29"/>
      <c r="F43" s="30" t="s">
        <v>97</v>
      </c>
      <c r="G43" s="31"/>
      <c r="H43" s="30" t="s">
        <v>98</v>
      </c>
      <c r="I43" s="29"/>
      <c r="J43" s="35" t="str">
        <f>A42&amp;"|"&amp;C43</f>
        <v>|P2-2</v>
      </c>
    </row>
    <row r="44" ht="30.0" customHeight="1">
      <c r="A44" s="48"/>
      <c r="B44" s="24" t="s">
        <v>166</v>
      </c>
      <c r="C44" s="26" t="s">
        <v>82</v>
      </c>
      <c r="D44" s="28" t="s">
        <v>83</v>
      </c>
      <c r="E44" s="29"/>
      <c r="F44" s="30" t="s">
        <v>97</v>
      </c>
      <c r="G44" s="31"/>
      <c r="H44" s="30" t="s">
        <v>98</v>
      </c>
      <c r="I44" s="29"/>
      <c r="J44" s="35" t="str">
        <f>A44&amp;"|"&amp;C44</f>
        <v>|P2-1</v>
      </c>
    </row>
    <row r="45" ht="30.0" customHeight="1">
      <c r="A45" s="32"/>
      <c r="B45" s="24" t="s">
        <v>167</v>
      </c>
      <c r="C45" s="26" t="s">
        <v>90</v>
      </c>
      <c r="D45" s="28" t="s">
        <v>91</v>
      </c>
      <c r="E45" s="29"/>
      <c r="F45" s="30" t="s">
        <v>97</v>
      </c>
      <c r="G45" s="31"/>
      <c r="H45" s="30" t="s">
        <v>98</v>
      </c>
      <c r="I45" s="29"/>
      <c r="J45" s="35" t="str">
        <f>A44&amp;"|"&amp;C45</f>
        <v>|P2-2</v>
      </c>
    </row>
    <row r="46" ht="30.0" customHeight="1">
      <c r="A46" s="48"/>
      <c r="B46" s="24" t="s">
        <v>168</v>
      </c>
      <c r="C46" s="26" t="s">
        <v>82</v>
      </c>
      <c r="D46" s="28" t="s">
        <v>83</v>
      </c>
      <c r="E46" s="29"/>
      <c r="F46" s="30" t="s">
        <v>97</v>
      </c>
      <c r="G46" s="31"/>
      <c r="H46" s="30" t="s">
        <v>98</v>
      </c>
      <c r="I46" s="29"/>
      <c r="J46" s="35" t="str">
        <f>A46&amp;"|"&amp;C46</f>
        <v>|P2-1</v>
      </c>
    </row>
    <row r="47" ht="30.0" customHeight="1">
      <c r="A47" s="32"/>
      <c r="B47" s="24" t="s">
        <v>169</v>
      </c>
      <c r="C47" s="26" t="s">
        <v>90</v>
      </c>
      <c r="D47" s="28" t="s">
        <v>91</v>
      </c>
      <c r="E47" s="29"/>
      <c r="F47" s="30" t="s">
        <v>97</v>
      </c>
      <c r="G47" s="31"/>
      <c r="H47" s="30" t="s">
        <v>98</v>
      </c>
      <c r="I47" s="29"/>
      <c r="J47" s="35" t="str">
        <f>A46&amp;"|"&amp;C47</f>
        <v>|P2-2</v>
      </c>
    </row>
    <row r="48" ht="30.0" customHeight="1">
      <c r="A48" s="48"/>
      <c r="B48" s="24" t="s">
        <v>170</v>
      </c>
      <c r="C48" s="26" t="s">
        <v>82</v>
      </c>
      <c r="D48" s="28" t="s">
        <v>83</v>
      </c>
      <c r="E48" s="29"/>
      <c r="F48" s="30" t="s">
        <v>97</v>
      </c>
      <c r="G48" s="31"/>
      <c r="H48" s="30" t="s">
        <v>98</v>
      </c>
      <c r="I48" s="29"/>
      <c r="J48" s="35" t="str">
        <f>A48&amp;"|"&amp;C48</f>
        <v>|P2-1</v>
      </c>
    </row>
    <row r="49" ht="30.0" customHeight="1">
      <c r="A49" s="32"/>
      <c r="B49" s="24" t="s">
        <v>171</v>
      </c>
      <c r="C49" s="26" t="s">
        <v>90</v>
      </c>
      <c r="D49" s="28" t="s">
        <v>91</v>
      </c>
      <c r="E49" s="29"/>
      <c r="F49" s="30" t="s">
        <v>97</v>
      </c>
      <c r="G49" s="31"/>
      <c r="H49" s="30" t="s">
        <v>98</v>
      </c>
      <c r="I49" s="29"/>
      <c r="J49" s="35" t="str">
        <f>A48&amp;"|"&amp;C49</f>
        <v>|P2-2</v>
      </c>
    </row>
    <row r="50" ht="30.0" customHeight="1">
      <c r="A50" s="48"/>
      <c r="B50" s="24" t="s">
        <v>172</v>
      </c>
      <c r="C50" s="26" t="s">
        <v>82</v>
      </c>
      <c r="D50" s="28" t="s">
        <v>83</v>
      </c>
      <c r="E50" s="29"/>
      <c r="F50" s="30" t="s">
        <v>97</v>
      </c>
      <c r="G50" s="31"/>
      <c r="H50" s="30" t="s">
        <v>98</v>
      </c>
      <c r="I50" s="29"/>
      <c r="J50" s="35" t="str">
        <f>A50&amp;"|"&amp;C50</f>
        <v>|P2-1</v>
      </c>
    </row>
    <row r="51" ht="30.0" customHeight="1">
      <c r="A51" s="32"/>
      <c r="B51" s="24" t="s">
        <v>173</v>
      </c>
      <c r="C51" s="26" t="s">
        <v>90</v>
      </c>
      <c r="D51" s="28" t="s">
        <v>91</v>
      </c>
      <c r="E51" s="29"/>
      <c r="F51" s="30" t="s">
        <v>97</v>
      </c>
      <c r="G51" s="31"/>
      <c r="H51" s="30" t="s">
        <v>98</v>
      </c>
      <c r="I51" s="29"/>
      <c r="J51" s="35" t="str">
        <f>A50&amp;"|"&amp;C51</f>
        <v>|P2-2</v>
      </c>
    </row>
    <row r="52" ht="30.0" customHeight="1">
      <c r="A52" s="14" t="s">
        <v>174</v>
      </c>
      <c r="B52" s="15"/>
      <c r="C52" s="15"/>
      <c r="D52" s="15"/>
      <c r="E52" s="15"/>
      <c r="F52" s="15"/>
      <c r="G52" s="15"/>
      <c r="H52" s="15"/>
      <c r="I52" s="18"/>
    </row>
    <row r="53" ht="30.0" customHeight="1">
      <c r="A53" s="48"/>
      <c r="B53" s="24" t="s">
        <v>175</v>
      </c>
      <c r="C53" s="26" t="s">
        <v>100</v>
      </c>
      <c r="D53" s="28" t="s">
        <v>101</v>
      </c>
      <c r="E53" s="29"/>
      <c r="F53" s="30" t="s">
        <v>97</v>
      </c>
      <c r="G53" s="31"/>
      <c r="H53" s="30" t="s">
        <v>98</v>
      </c>
      <c r="I53" s="29"/>
      <c r="J53" s="35" t="str">
        <f>A53&amp;"|"&amp;C53</f>
        <v>|P3-1</v>
      </c>
    </row>
    <row r="54" ht="30.0" customHeight="1">
      <c r="A54" s="25"/>
      <c r="B54" s="24" t="s">
        <v>176</v>
      </c>
      <c r="C54" s="26" t="s">
        <v>103</v>
      </c>
      <c r="D54" s="28" t="s">
        <v>104</v>
      </c>
      <c r="E54" s="29"/>
      <c r="F54" s="30" t="s">
        <v>97</v>
      </c>
      <c r="G54" s="31"/>
      <c r="H54" s="30" t="s">
        <v>98</v>
      </c>
      <c r="I54" s="29"/>
      <c r="J54" s="35" t="str">
        <f>A53&amp;"|"&amp;C54</f>
        <v>|P3-2</v>
      </c>
    </row>
    <row r="55" ht="30.0" customHeight="1">
      <c r="A55" s="32"/>
      <c r="B55" s="24" t="s">
        <v>177</v>
      </c>
      <c r="C55" s="26" t="s">
        <v>107</v>
      </c>
      <c r="D55" s="28" t="s">
        <v>108</v>
      </c>
      <c r="E55" s="29"/>
      <c r="F55" s="30" t="s">
        <v>97</v>
      </c>
      <c r="G55" s="31"/>
      <c r="H55" s="30" t="s">
        <v>98</v>
      </c>
      <c r="I55" s="29"/>
      <c r="J55" s="35" t="str">
        <f>A53&amp;"|"&amp;C55</f>
        <v>|P3-3</v>
      </c>
    </row>
    <row r="56" ht="30.0" customHeight="1">
      <c r="A56" s="48"/>
      <c r="B56" s="24" t="s">
        <v>178</v>
      </c>
      <c r="C56" s="26" t="s">
        <v>100</v>
      </c>
      <c r="D56" s="28" t="s">
        <v>101</v>
      </c>
      <c r="E56" s="29"/>
      <c r="F56" s="30" t="s">
        <v>97</v>
      </c>
      <c r="G56" s="31"/>
      <c r="H56" s="30" t="s">
        <v>98</v>
      </c>
      <c r="I56" s="29"/>
      <c r="J56" s="35" t="str">
        <f>A56&amp;"|"&amp;C56</f>
        <v>|P3-1</v>
      </c>
    </row>
    <row r="57" ht="30.0" customHeight="1">
      <c r="A57" s="25"/>
      <c r="B57" s="24" t="s">
        <v>179</v>
      </c>
      <c r="C57" s="26" t="s">
        <v>103</v>
      </c>
      <c r="D57" s="28" t="s">
        <v>104</v>
      </c>
      <c r="E57" s="29"/>
      <c r="F57" s="30" t="s">
        <v>97</v>
      </c>
      <c r="G57" s="31"/>
      <c r="H57" s="30" t="s">
        <v>98</v>
      </c>
      <c r="I57" s="29"/>
      <c r="J57" s="35" t="str">
        <f>A56&amp;"|"&amp;C57</f>
        <v>|P3-2</v>
      </c>
    </row>
    <row r="58" ht="30.0" customHeight="1">
      <c r="A58" s="32"/>
      <c r="B58" s="24" t="s">
        <v>180</v>
      </c>
      <c r="C58" s="26" t="s">
        <v>107</v>
      </c>
      <c r="D58" s="28" t="s">
        <v>108</v>
      </c>
      <c r="E58" s="29"/>
      <c r="F58" s="30" t="s">
        <v>97</v>
      </c>
      <c r="G58" s="31"/>
      <c r="H58" s="30" t="s">
        <v>98</v>
      </c>
      <c r="I58" s="29"/>
      <c r="J58" s="35" t="str">
        <f>A56&amp;"|"&amp;C58</f>
        <v>|P3-3</v>
      </c>
    </row>
    <row r="59" ht="30.0" customHeight="1">
      <c r="A59" s="48"/>
      <c r="B59" s="24" t="s">
        <v>181</v>
      </c>
      <c r="C59" s="26" t="s">
        <v>100</v>
      </c>
      <c r="D59" s="28" t="s">
        <v>101</v>
      </c>
      <c r="E59" s="29"/>
      <c r="F59" s="30" t="s">
        <v>97</v>
      </c>
      <c r="G59" s="31"/>
      <c r="H59" s="30" t="s">
        <v>98</v>
      </c>
      <c r="I59" s="29"/>
      <c r="J59" s="35" t="str">
        <f>A59&amp;"|"&amp;C59</f>
        <v>|P3-1</v>
      </c>
    </row>
    <row r="60" ht="30.0" customHeight="1">
      <c r="A60" s="25"/>
      <c r="B60" s="24" t="s">
        <v>182</v>
      </c>
      <c r="C60" s="26" t="s">
        <v>103</v>
      </c>
      <c r="D60" s="28" t="s">
        <v>104</v>
      </c>
      <c r="E60" s="29"/>
      <c r="F60" s="30" t="s">
        <v>97</v>
      </c>
      <c r="G60" s="31"/>
      <c r="H60" s="30" t="s">
        <v>98</v>
      </c>
      <c r="I60" s="29"/>
      <c r="J60" s="35" t="str">
        <f>A59&amp;"|"&amp;C60</f>
        <v>|P3-2</v>
      </c>
    </row>
    <row r="61" ht="15.75" customHeight="1">
      <c r="A61" s="32"/>
      <c r="B61" s="24" t="s">
        <v>183</v>
      </c>
      <c r="C61" s="26" t="s">
        <v>107</v>
      </c>
      <c r="D61" s="28" t="s">
        <v>108</v>
      </c>
      <c r="E61" s="29"/>
      <c r="F61" s="30" t="s">
        <v>97</v>
      </c>
      <c r="G61" s="31"/>
      <c r="H61" s="30" t="s">
        <v>98</v>
      </c>
      <c r="I61" s="29"/>
      <c r="J61" s="35" t="str">
        <f>A59&amp;"|"&amp;C61</f>
        <v>|P3-3</v>
      </c>
    </row>
    <row r="62" ht="15.75" customHeight="1">
      <c r="A62" s="48"/>
      <c r="B62" s="24" t="s">
        <v>184</v>
      </c>
      <c r="C62" s="26" t="s">
        <v>100</v>
      </c>
      <c r="D62" s="28" t="s">
        <v>101</v>
      </c>
      <c r="E62" s="29"/>
      <c r="F62" s="30" t="s">
        <v>97</v>
      </c>
      <c r="G62" s="31"/>
      <c r="H62" s="30" t="s">
        <v>98</v>
      </c>
      <c r="I62" s="29"/>
      <c r="J62" s="35" t="str">
        <f>A62&amp;"|"&amp;C62</f>
        <v>|P3-1</v>
      </c>
    </row>
    <row r="63" ht="15.75" customHeight="1">
      <c r="A63" s="25"/>
      <c r="B63" s="24" t="s">
        <v>185</v>
      </c>
      <c r="C63" s="26" t="s">
        <v>103</v>
      </c>
      <c r="D63" s="28" t="s">
        <v>104</v>
      </c>
      <c r="E63" s="29"/>
      <c r="F63" s="30" t="s">
        <v>97</v>
      </c>
      <c r="G63" s="31"/>
      <c r="H63" s="30" t="s">
        <v>98</v>
      </c>
      <c r="I63" s="29"/>
      <c r="J63" s="35" t="str">
        <f>A62&amp;"|"&amp;C63</f>
        <v>|P3-2</v>
      </c>
    </row>
    <row r="64" ht="15.75" customHeight="1">
      <c r="A64" s="32"/>
      <c r="B64" s="24" t="s">
        <v>186</v>
      </c>
      <c r="C64" s="26" t="s">
        <v>107</v>
      </c>
      <c r="D64" s="28" t="s">
        <v>108</v>
      </c>
      <c r="E64" s="29"/>
      <c r="F64" s="30" t="s">
        <v>97</v>
      </c>
      <c r="G64" s="31"/>
      <c r="H64" s="30" t="s">
        <v>98</v>
      </c>
      <c r="I64" s="29"/>
      <c r="J64" s="35" t="str">
        <f>A62&amp;"|"&amp;C64</f>
        <v>|P3-3</v>
      </c>
    </row>
    <row r="65" ht="15.75" customHeight="1">
      <c r="A65" s="48"/>
      <c r="B65" s="24" t="s">
        <v>187</v>
      </c>
      <c r="C65" s="26" t="s">
        <v>100</v>
      </c>
      <c r="D65" s="28" t="s">
        <v>101</v>
      </c>
      <c r="E65" s="29"/>
      <c r="F65" s="30" t="s">
        <v>97</v>
      </c>
      <c r="G65" s="31"/>
      <c r="H65" s="30" t="s">
        <v>98</v>
      </c>
      <c r="I65" s="29"/>
      <c r="J65" s="35" t="str">
        <f>A65&amp;"|"&amp;C65</f>
        <v>|P3-1</v>
      </c>
    </row>
    <row r="66" ht="15.75" customHeight="1">
      <c r="A66" s="25"/>
      <c r="B66" s="24" t="s">
        <v>188</v>
      </c>
      <c r="C66" s="26" t="s">
        <v>103</v>
      </c>
      <c r="D66" s="28" t="s">
        <v>104</v>
      </c>
      <c r="E66" s="29"/>
      <c r="F66" s="30" t="s">
        <v>97</v>
      </c>
      <c r="G66" s="31"/>
      <c r="H66" s="30" t="s">
        <v>98</v>
      </c>
      <c r="I66" s="29"/>
      <c r="J66" s="35" t="str">
        <f>A65&amp;"|"&amp;C66</f>
        <v>|P3-2</v>
      </c>
    </row>
    <row r="67" ht="15.75" customHeight="1">
      <c r="A67" s="32"/>
      <c r="B67" s="24" t="s">
        <v>189</v>
      </c>
      <c r="C67" s="26" t="s">
        <v>107</v>
      </c>
      <c r="D67" s="28" t="s">
        <v>108</v>
      </c>
      <c r="E67" s="29"/>
      <c r="F67" s="30" t="s">
        <v>97</v>
      </c>
      <c r="G67" s="31"/>
      <c r="H67" s="30" t="s">
        <v>98</v>
      </c>
      <c r="I67" s="29"/>
      <c r="J67" s="35" t="str">
        <f>A65&amp;"|"&amp;C67</f>
        <v>|P3-3</v>
      </c>
    </row>
    <row r="68" ht="15.75" customHeight="1">
      <c r="A68" s="48"/>
      <c r="B68" s="24" t="s">
        <v>190</v>
      </c>
      <c r="C68" s="26" t="s">
        <v>100</v>
      </c>
      <c r="D68" s="28" t="s">
        <v>101</v>
      </c>
      <c r="E68" s="29"/>
      <c r="F68" s="30" t="s">
        <v>97</v>
      </c>
      <c r="G68" s="31"/>
      <c r="H68" s="30" t="s">
        <v>98</v>
      </c>
      <c r="I68" s="29"/>
      <c r="J68" s="35" t="str">
        <f>A68&amp;"|"&amp;C68</f>
        <v>|P3-1</v>
      </c>
    </row>
    <row r="69" ht="15.75" customHeight="1">
      <c r="A69" s="25"/>
      <c r="B69" s="24" t="s">
        <v>191</v>
      </c>
      <c r="C69" s="26" t="s">
        <v>103</v>
      </c>
      <c r="D69" s="28" t="s">
        <v>104</v>
      </c>
      <c r="E69" s="29"/>
      <c r="F69" s="30" t="s">
        <v>97</v>
      </c>
      <c r="G69" s="31"/>
      <c r="H69" s="30" t="s">
        <v>98</v>
      </c>
      <c r="I69" s="29"/>
      <c r="J69" s="35" t="str">
        <f>A68&amp;"|"&amp;C69</f>
        <v>|P3-2</v>
      </c>
    </row>
    <row r="70" ht="15.75" customHeight="1">
      <c r="A70" s="32"/>
      <c r="B70" s="24" t="s">
        <v>192</v>
      </c>
      <c r="C70" s="26" t="s">
        <v>107</v>
      </c>
      <c r="D70" s="28" t="s">
        <v>108</v>
      </c>
      <c r="E70" s="29"/>
      <c r="F70" s="30" t="s">
        <v>97</v>
      </c>
      <c r="G70" s="31"/>
      <c r="H70" s="30" t="s">
        <v>98</v>
      </c>
      <c r="I70" s="29"/>
      <c r="J70" s="35" t="str">
        <f>A68&amp;"|"&amp;C70</f>
        <v>|P3-3</v>
      </c>
    </row>
    <row r="71" ht="15.75" customHeight="1">
      <c r="A71" s="48"/>
      <c r="B71" s="24" t="s">
        <v>193</v>
      </c>
      <c r="C71" s="26" t="s">
        <v>100</v>
      </c>
      <c r="D71" s="28" t="s">
        <v>101</v>
      </c>
      <c r="E71" s="29"/>
      <c r="F71" s="30" t="s">
        <v>97</v>
      </c>
      <c r="G71" s="31"/>
      <c r="H71" s="30" t="s">
        <v>98</v>
      </c>
      <c r="I71" s="29"/>
      <c r="J71" s="35" t="str">
        <f>A71&amp;"|"&amp;C71</f>
        <v>|P3-1</v>
      </c>
    </row>
    <row r="72" ht="15.75" customHeight="1">
      <c r="A72" s="25"/>
      <c r="B72" s="24" t="s">
        <v>194</v>
      </c>
      <c r="C72" s="26" t="s">
        <v>103</v>
      </c>
      <c r="D72" s="28" t="s">
        <v>104</v>
      </c>
      <c r="E72" s="29"/>
      <c r="F72" s="30" t="s">
        <v>97</v>
      </c>
      <c r="G72" s="31"/>
      <c r="H72" s="30" t="s">
        <v>98</v>
      </c>
      <c r="I72" s="29"/>
      <c r="J72" s="35" t="str">
        <f>A71&amp;"|"&amp;C72</f>
        <v>|P3-2</v>
      </c>
    </row>
    <row r="73" ht="15.75" customHeight="1">
      <c r="A73" s="32"/>
      <c r="B73" s="24" t="s">
        <v>195</v>
      </c>
      <c r="C73" s="26" t="s">
        <v>107</v>
      </c>
      <c r="D73" s="28" t="s">
        <v>108</v>
      </c>
      <c r="E73" s="29"/>
      <c r="F73" s="30" t="s">
        <v>97</v>
      </c>
      <c r="G73" s="31"/>
      <c r="H73" s="30" t="s">
        <v>98</v>
      </c>
      <c r="I73" s="29"/>
      <c r="J73" s="35" t="str">
        <f>A71&amp;"|"&amp;C73</f>
        <v>|P3-3</v>
      </c>
    </row>
    <row r="74" ht="15.75" customHeight="1">
      <c r="A74" s="48"/>
      <c r="B74" s="24" t="s">
        <v>196</v>
      </c>
      <c r="C74" s="26" t="s">
        <v>100</v>
      </c>
      <c r="D74" s="28" t="s">
        <v>101</v>
      </c>
      <c r="E74" s="29"/>
      <c r="F74" s="30" t="s">
        <v>97</v>
      </c>
      <c r="G74" s="31"/>
      <c r="H74" s="30" t="s">
        <v>98</v>
      </c>
      <c r="I74" s="29"/>
      <c r="J74" s="35" t="str">
        <f>A74&amp;"|"&amp;C74</f>
        <v>|P3-1</v>
      </c>
    </row>
    <row r="75" ht="15.75" customHeight="1">
      <c r="A75" s="25"/>
      <c r="B75" s="24" t="s">
        <v>197</v>
      </c>
      <c r="C75" s="26" t="s">
        <v>103</v>
      </c>
      <c r="D75" s="28" t="s">
        <v>104</v>
      </c>
      <c r="E75" s="29"/>
      <c r="F75" s="30" t="s">
        <v>97</v>
      </c>
      <c r="G75" s="31"/>
      <c r="H75" s="30" t="s">
        <v>98</v>
      </c>
      <c r="I75" s="29"/>
      <c r="J75" s="35" t="str">
        <f>A74&amp;"|"&amp;C75</f>
        <v>|P3-2</v>
      </c>
    </row>
    <row r="76" ht="15.75" customHeight="1">
      <c r="A76" s="32"/>
      <c r="B76" s="24" t="s">
        <v>198</v>
      </c>
      <c r="C76" s="26" t="s">
        <v>107</v>
      </c>
      <c r="D76" s="28" t="s">
        <v>108</v>
      </c>
      <c r="E76" s="29"/>
      <c r="F76" s="30" t="s">
        <v>97</v>
      </c>
      <c r="G76" s="31"/>
      <c r="H76" s="30" t="s">
        <v>98</v>
      </c>
      <c r="I76" s="29"/>
      <c r="J76" s="35" t="str">
        <f>A74&amp;"|"&amp;C76</f>
        <v>|P3-3</v>
      </c>
    </row>
    <row r="77" ht="15.75" customHeight="1">
      <c r="A77" s="14" t="s">
        <v>199</v>
      </c>
      <c r="B77" s="15"/>
      <c r="C77" s="15"/>
      <c r="D77" s="15"/>
      <c r="E77" s="15"/>
      <c r="F77" s="15"/>
      <c r="G77" s="15"/>
      <c r="H77" s="15"/>
      <c r="I77" s="18"/>
    </row>
    <row r="78" ht="15.75" customHeight="1">
      <c r="A78" s="48"/>
      <c r="B78" s="24" t="s">
        <v>200</v>
      </c>
      <c r="C78" s="26" t="s">
        <v>113</v>
      </c>
      <c r="D78" s="28" t="s">
        <v>114</v>
      </c>
      <c r="E78" s="29"/>
      <c r="F78" s="30" t="s">
        <v>97</v>
      </c>
      <c r="G78" s="31"/>
      <c r="H78" s="30" t="s">
        <v>98</v>
      </c>
      <c r="I78" s="29"/>
      <c r="J78" s="35" t="str">
        <f>A78&amp;"|"&amp;C78</f>
        <v>|P4-1</v>
      </c>
    </row>
    <row r="79" ht="15.75" customHeight="1">
      <c r="A79" s="25"/>
      <c r="B79" s="24" t="s">
        <v>201</v>
      </c>
      <c r="C79" s="26" t="s">
        <v>116</v>
      </c>
      <c r="D79" s="28" t="s">
        <v>202</v>
      </c>
      <c r="E79" s="29"/>
      <c r="F79" s="30" t="s">
        <v>97</v>
      </c>
      <c r="G79" s="31"/>
      <c r="H79" s="30" t="s">
        <v>98</v>
      </c>
      <c r="I79" s="29"/>
      <c r="J79" s="35" t="str">
        <f>A78&amp;"|"&amp;C79</f>
        <v>|P4-2</v>
      </c>
    </row>
    <row r="80" ht="15.75" customHeight="1">
      <c r="A80" s="32"/>
      <c r="B80" s="24" t="s">
        <v>203</v>
      </c>
      <c r="C80" s="26" t="s">
        <v>121</v>
      </c>
      <c r="D80" s="28" t="s">
        <v>122</v>
      </c>
      <c r="E80" s="29"/>
      <c r="F80" s="30" t="s">
        <v>97</v>
      </c>
      <c r="G80" s="31"/>
      <c r="H80" s="30" t="s">
        <v>98</v>
      </c>
      <c r="I80" s="29"/>
      <c r="J80" s="35" t="str">
        <f>A78&amp;"|"&amp;C80</f>
        <v>|P4-3</v>
      </c>
    </row>
    <row r="81" ht="15.75" customHeight="1">
      <c r="A81" s="48"/>
      <c r="B81" s="24" t="s">
        <v>204</v>
      </c>
      <c r="C81" s="26" t="s">
        <v>113</v>
      </c>
      <c r="D81" s="28" t="s">
        <v>114</v>
      </c>
      <c r="E81" s="29"/>
      <c r="F81" s="30" t="s">
        <v>97</v>
      </c>
      <c r="G81" s="31"/>
      <c r="H81" s="30" t="s">
        <v>98</v>
      </c>
      <c r="I81" s="29"/>
      <c r="J81" s="35" t="str">
        <f>A81&amp;"|"&amp;C81</f>
        <v>|P4-1</v>
      </c>
    </row>
    <row r="82" ht="15.75" customHeight="1">
      <c r="A82" s="25"/>
      <c r="B82" s="24" t="s">
        <v>205</v>
      </c>
      <c r="C82" s="26" t="s">
        <v>116</v>
      </c>
      <c r="D82" s="28" t="s">
        <v>206</v>
      </c>
      <c r="E82" s="29"/>
      <c r="F82" s="30" t="s">
        <v>97</v>
      </c>
      <c r="G82" s="31"/>
      <c r="H82" s="30" t="s">
        <v>98</v>
      </c>
      <c r="I82" s="29"/>
      <c r="J82" s="35" t="str">
        <f>A81&amp;"|"&amp;C82</f>
        <v>|P4-2</v>
      </c>
    </row>
    <row r="83" ht="15.75" customHeight="1">
      <c r="A83" s="32"/>
      <c r="B83" s="24" t="s">
        <v>207</v>
      </c>
      <c r="C83" s="26" t="s">
        <v>121</v>
      </c>
      <c r="D83" s="28" t="s">
        <v>122</v>
      </c>
      <c r="E83" s="29"/>
      <c r="F83" s="30" t="s">
        <v>97</v>
      </c>
      <c r="G83" s="31"/>
      <c r="H83" s="30" t="s">
        <v>98</v>
      </c>
      <c r="I83" s="29"/>
      <c r="J83" s="35" t="str">
        <f>A81&amp;"|"&amp;C83</f>
        <v>|P4-3</v>
      </c>
    </row>
    <row r="84" ht="15.75" customHeight="1">
      <c r="A84" s="48"/>
      <c r="B84" s="24" t="s">
        <v>208</v>
      </c>
      <c r="C84" s="26" t="s">
        <v>113</v>
      </c>
      <c r="D84" s="28" t="s">
        <v>114</v>
      </c>
      <c r="E84" s="29"/>
      <c r="F84" s="30" t="s">
        <v>97</v>
      </c>
      <c r="G84" s="31"/>
      <c r="H84" s="30" t="s">
        <v>98</v>
      </c>
      <c r="I84" s="29"/>
      <c r="J84" s="35" t="str">
        <f>A84&amp;"|"&amp;C84</f>
        <v>|P4-1</v>
      </c>
    </row>
    <row r="85" ht="15.75" customHeight="1">
      <c r="A85" s="25"/>
      <c r="B85" s="24" t="s">
        <v>209</v>
      </c>
      <c r="C85" s="26" t="s">
        <v>116</v>
      </c>
      <c r="D85" s="28" t="s">
        <v>210</v>
      </c>
      <c r="E85" s="29"/>
      <c r="F85" s="30" t="s">
        <v>97</v>
      </c>
      <c r="G85" s="31"/>
      <c r="H85" s="30" t="s">
        <v>98</v>
      </c>
      <c r="I85" s="29"/>
      <c r="J85" s="35" t="str">
        <f>A84&amp;"|"&amp;C85</f>
        <v>|P4-2</v>
      </c>
    </row>
    <row r="86" ht="15.75" customHeight="1">
      <c r="A86" s="32"/>
      <c r="B86" s="24" t="s">
        <v>211</v>
      </c>
      <c r="C86" s="26" t="s">
        <v>121</v>
      </c>
      <c r="D86" s="28" t="s">
        <v>122</v>
      </c>
      <c r="E86" s="29"/>
      <c r="F86" s="30" t="s">
        <v>97</v>
      </c>
      <c r="G86" s="31"/>
      <c r="H86" s="30" t="s">
        <v>98</v>
      </c>
      <c r="I86" s="29"/>
      <c r="J86" s="35" t="str">
        <f>A84&amp;"|"&amp;C86</f>
        <v>|P4-3</v>
      </c>
    </row>
    <row r="87" ht="15.75" customHeight="1">
      <c r="A87" s="48"/>
      <c r="B87" s="24" t="s">
        <v>212</v>
      </c>
      <c r="C87" s="26" t="s">
        <v>113</v>
      </c>
      <c r="D87" s="28" t="s">
        <v>114</v>
      </c>
      <c r="E87" s="29"/>
      <c r="F87" s="30" t="s">
        <v>97</v>
      </c>
      <c r="G87" s="31"/>
      <c r="H87" s="30" t="s">
        <v>98</v>
      </c>
      <c r="I87" s="29"/>
      <c r="J87" s="35" t="str">
        <f>A87&amp;"|"&amp;C87</f>
        <v>|P4-1</v>
      </c>
    </row>
    <row r="88" ht="15.75" customHeight="1">
      <c r="A88" s="25"/>
      <c r="B88" s="24" t="s">
        <v>213</v>
      </c>
      <c r="C88" s="26" t="s">
        <v>116</v>
      </c>
      <c r="D88" s="28" t="s">
        <v>214</v>
      </c>
      <c r="E88" s="29"/>
      <c r="F88" s="30" t="s">
        <v>97</v>
      </c>
      <c r="G88" s="31"/>
      <c r="H88" s="30" t="s">
        <v>98</v>
      </c>
      <c r="I88" s="29"/>
      <c r="J88" s="35" t="str">
        <f>A87&amp;"|"&amp;C88</f>
        <v>|P4-2</v>
      </c>
    </row>
    <row r="89" ht="15.75" customHeight="1">
      <c r="A89" s="32"/>
      <c r="B89" s="24" t="s">
        <v>215</v>
      </c>
      <c r="C89" s="26" t="s">
        <v>121</v>
      </c>
      <c r="D89" s="28" t="s">
        <v>122</v>
      </c>
      <c r="E89" s="29"/>
      <c r="F89" s="30" t="s">
        <v>97</v>
      </c>
      <c r="G89" s="31"/>
      <c r="H89" s="30" t="s">
        <v>98</v>
      </c>
      <c r="I89" s="29"/>
      <c r="J89" s="35" t="str">
        <f>A87&amp;"|"&amp;C89</f>
        <v>|P4-3</v>
      </c>
    </row>
    <row r="90" ht="15.75" customHeight="1">
      <c r="A90" s="48"/>
      <c r="B90" s="24" t="s">
        <v>216</v>
      </c>
      <c r="C90" s="26" t="s">
        <v>113</v>
      </c>
      <c r="D90" s="28" t="s">
        <v>114</v>
      </c>
      <c r="E90" s="29"/>
      <c r="F90" s="30" t="s">
        <v>97</v>
      </c>
      <c r="G90" s="31"/>
      <c r="H90" s="30" t="s">
        <v>98</v>
      </c>
      <c r="I90" s="29"/>
      <c r="J90" s="35" t="str">
        <f>A90&amp;"|"&amp;C90</f>
        <v>|P4-1</v>
      </c>
    </row>
    <row r="91" ht="15.75" customHeight="1">
      <c r="A91" s="25"/>
      <c r="B91" s="24" t="s">
        <v>217</v>
      </c>
      <c r="C91" s="26" t="s">
        <v>116</v>
      </c>
      <c r="D91" s="28" t="s">
        <v>218</v>
      </c>
      <c r="E91" s="29"/>
      <c r="F91" s="30" t="s">
        <v>97</v>
      </c>
      <c r="G91" s="31"/>
      <c r="H91" s="30" t="s">
        <v>98</v>
      </c>
      <c r="I91" s="29"/>
      <c r="J91" s="35" t="str">
        <f>A90&amp;"|"&amp;C91</f>
        <v>|P4-2</v>
      </c>
    </row>
    <row r="92" ht="15.75" customHeight="1">
      <c r="A92" s="32"/>
      <c r="B92" s="24" t="s">
        <v>219</v>
      </c>
      <c r="C92" s="26" t="s">
        <v>121</v>
      </c>
      <c r="D92" s="28" t="s">
        <v>122</v>
      </c>
      <c r="E92" s="29"/>
      <c r="F92" s="30" t="s">
        <v>97</v>
      </c>
      <c r="G92" s="31"/>
      <c r="H92" s="30" t="s">
        <v>98</v>
      </c>
      <c r="I92" s="29"/>
      <c r="J92" s="35" t="str">
        <f>A90&amp;"|"&amp;C92</f>
        <v>|P4-3</v>
      </c>
    </row>
    <row r="93" ht="15.75" customHeight="1">
      <c r="A93" s="48"/>
      <c r="B93" s="24" t="s">
        <v>220</v>
      </c>
      <c r="C93" s="26" t="s">
        <v>113</v>
      </c>
      <c r="D93" s="28" t="s">
        <v>114</v>
      </c>
      <c r="E93" s="29"/>
      <c r="F93" s="30" t="s">
        <v>97</v>
      </c>
      <c r="G93" s="31"/>
      <c r="H93" s="30" t="s">
        <v>98</v>
      </c>
      <c r="I93" s="29"/>
      <c r="J93" s="35" t="str">
        <f>A93&amp;"|"&amp;C93</f>
        <v>|P4-1</v>
      </c>
    </row>
    <row r="94" ht="15.75" customHeight="1">
      <c r="A94" s="25"/>
      <c r="B94" s="24" t="s">
        <v>221</v>
      </c>
      <c r="C94" s="26" t="s">
        <v>116</v>
      </c>
      <c r="D94" s="28" t="s">
        <v>222</v>
      </c>
      <c r="E94" s="29"/>
      <c r="F94" s="30" t="s">
        <v>97</v>
      </c>
      <c r="G94" s="31"/>
      <c r="H94" s="30" t="s">
        <v>98</v>
      </c>
      <c r="I94" s="29"/>
      <c r="J94" s="35" t="str">
        <f>A93&amp;"|"&amp;C94</f>
        <v>|P4-2</v>
      </c>
    </row>
    <row r="95" ht="15.75" customHeight="1">
      <c r="A95" s="32"/>
      <c r="B95" s="24" t="s">
        <v>223</v>
      </c>
      <c r="C95" s="26" t="s">
        <v>121</v>
      </c>
      <c r="D95" s="28" t="s">
        <v>122</v>
      </c>
      <c r="E95" s="29"/>
      <c r="F95" s="30" t="s">
        <v>97</v>
      </c>
      <c r="G95" s="31"/>
      <c r="H95" s="30" t="s">
        <v>98</v>
      </c>
      <c r="I95" s="29"/>
      <c r="J95" s="35" t="str">
        <f>A93&amp;"|"&amp;C95</f>
        <v>|P4-3</v>
      </c>
    </row>
    <row r="96" ht="15.75" customHeight="1">
      <c r="A96" s="48"/>
      <c r="B96" s="24" t="s">
        <v>224</v>
      </c>
      <c r="C96" s="26" t="s">
        <v>113</v>
      </c>
      <c r="D96" s="28" t="s">
        <v>114</v>
      </c>
      <c r="E96" s="29"/>
      <c r="F96" s="30" t="s">
        <v>97</v>
      </c>
      <c r="G96" s="31"/>
      <c r="H96" s="30" t="s">
        <v>98</v>
      </c>
      <c r="I96" s="29"/>
      <c r="J96" s="35" t="str">
        <f>A96&amp;"|"&amp;C96</f>
        <v>|P4-1</v>
      </c>
    </row>
    <row r="97" ht="15.75" customHeight="1">
      <c r="A97" s="25"/>
      <c r="B97" s="24" t="s">
        <v>225</v>
      </c>
      <c r="C97" s="26" t="s">
        <v>116</v>
      </c>
      <c r="D97" s="28" t="s">
        <v>226</v>
      </c>
      <c r="E97" s="29"/>
      <c r="F97" s="30" t="s">
        <v>97</v>
      </c>
      <c r="G97" s="31"/>
      <c r="H97" s="30" t="s">
        <v>98</v>
      </c>
      <c r="I97" s="29"/>
      <c r="J97" s="35" t="str">
        <f>A96&amp;"|"&amp;C97</f>
        <v>|P4-2</v>
      </c>
    </row>
    <row r="98" ht="15.75" customHeight="1">
      <c r="A98" s="32"/>
      <c r="B98" s="24" t="s">
        <v>227</v>
      </c>
      <c r="C98" s="26" t="s">
        <v>121</v>
      </c>
      <c r="D98" s="28" t="s">
        <v>122</v>
      </c>
      <c r="E98" s="29"/>
      <c r="F98" s="30" t="s">
        <v>97</v>
      </c>
      <c r="G98" s="31"/>
      <c r="H98" s="30" t="s">
        <v>98</v>
      </c>
      <c r="I98" s="29"/>
      <c r="J98" s="35" t="str">
        <f>A96&amp;"|"&amp;C98</f>
        <v>|P4-3</v>
      </c>
    </row>
    <row r="99" ht="15.75" customHeight="1">
      <c r="A99" s="48"/>
      <c r="B99" s="24" t="s">
        <v>228</v>
      </c>
      <c r="C99" s="26" t="s">
        <v>113</v>
      </c>
      <c r="D99" s="28" t="s">
        <v>114</v>
      </c>
      <c r="E99" s="29"/>
      <c r="F99" s="30" t="s">
        <v>97</v>
      </c>
      <c r="G99" s="31"/>
      <c r="H99" s="30" t="s">
        <v>98</v>
      </c>
      <c r="I99" s="29"/>
      <c r="J99" s="35" t="str">
        <f>A99&amp;"|"&amp;C99</f>
        <v>|P4-1</v>
      </c>
    </row>
    <row r="100" ht="15.75" customHeight="1">
      <c r="A100" s="25"/>
      <c r="B100" s="24" t="s">
        <v>230</v>
      </c>
      <c r="C100" s="26" t="s">
        <v>116</v>
      </c>
      <c r="D100" s="28" t="s">
        <v>231</v>
      </c>
      <c r="E100" s="29"/>
      <c r="F100" s="30" t="s">
        <v>97</v>
      </c>
      <c r="G100" s="31"/>
      <c r="H100" s="30" t="s">
        <v>98</v>
      </c>
      <c r="I100" s="29"/>
      <c r="J100" s="35" t="str">
        <f>A99&amp;"|"&amp;C100</f>
        <v>|P4-2</v>
      </c>
    </row>
    <row r="101" ht="15.75" customHeight="1">
      <c r="A101" s="32"/>
      <c r="B101" s="24" t="s">
        <v>232</v>
      </c>
      <c r="C101" s="26" t="s">
        <v>121</v>
      </c>
      <c r="D101" s="28" t="s">
        <v>122</v>
      </c>
      <c r="E101" s="29"/>
      <c r="F101" s="30" t="s">
        <v>97</v>
      </c>
      <c r="G101" s="31"/>
      <c r="H101" s="30" t="s">
        <v>98</v>
      </c>
      <c r="I101" s="29"/>
      <c r="J101" s="35" t="str">
        <f>A99&amp;"|"&amp;C101</f>
        <v>|P4-3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2:I2"/>
    <mergeCell ref="A3:A6"/>
    <mergeCell ref="A7:A10"/>
    <mergeCell ref="A11:A14"/>
    <mergeCell ref="A15:A18"/>
    <mergeCell ref="A19:A22"/>
    <mergeCell ref="A23:A26"/>
    <mergeCell ref="A27:A30"/>
    <mergeCell ref="A31:A34"/>
    <mergeCell ref="A35:I35"/>
    <mergeCell ref="A36:A37"/>
    <mergeCell ref="A38:A39"/>
    <mergeCell ref="A40:A41"/>
    <mergeCell ref="A42:A43"/>
    <mergeCell ref="A44:A45"/>
    <mergeCell ref="A46:A47"/>
    <mergeCell ref="A48:A49"/>
    <mergeCell ref="A50:A51"/>
    <mergeCell ref="A52:I52"/>
    <mergeCell ref="A53:A55"/>
    <mergeCell ref="A56:A58"/>
    <mergeCell ref="A78:A80"/>
    <mergeCell ref="A81:A83"/>
    <mergeCell ref="A84:A86"/>
    <mergeCell ref="A87:A89"/>
    <mergeCell ref="A90:A92"/>
    <mergeCell ref="A93:A95"/>
    <mergeCell ref="A96:A98"/>
    <mergeCell ref="A99:A101"/>
    <mergeCell ref="A59:A61"/>
    <mergeCell ref="A62:A64"/>
    <mergeCell ref="A65:A67"/>
    <mergeCell ref="A68:A70"/>
    <mergeCell ref="A71:A73"/>
    <mergeCell ref="A74:A76"/>
    <mergeCell ref="A77:I77"/>
  </mergeCells>
  <conditionalFormatting sqref="F3:F34 F36:F51 F53:F76 F78:F101">
    <cfRule type="cellIs" dxfId="0" priority="1" operator="equal">
      <formula>"제출완료"</formula>
    </cfRule>
  </conditionalFormatting>
  <conditionalFormatting sqref="F3:F34 F36:F51 F53:F76 F78:F101">
    <cfRule type="cellIs" dxfId="1" priority="2" operator="equal">
      <formula>"재제출"</formula>
    </cfRule>
  </conditionalFormatting>
  <conditionalFormatting sqref="F3:F34 F36:F51 F53:F76 F78:F101">
    <cfRule type="cellIs" dxfId="2" priority="3" operator="equal">
      <formula>"미제출"</formula>
    </cfRule>
  </conditionalFormatting>
  <conditionalFormatting sqref="H3:H34 H36:H51 H53:H76 H78:H101">
    <cfRule type="cellIs" dxfId="0" priority="4" operator="equal">
      <formula>"승인"</formula>
    </cfRule>
  </conditionalFormatting>
  <conditionalFormatting sqref="H3:H34 H36:H51 H53:H76 H78:H101">
    <cfRule type="cellIs" dxfId="2" priority="5" operator="equal">
      <formula>"반려"</formula>
    </cfRule>
  </conditionalFormatting>
  <conditionalFormatting sqref="H3:H34 H36:H51 H53:H76 H78:H101">
    <cfRule type="cellIs" dxfId="3" priority="6" operator="equal">
      <formula>"검토중"</formula>
    </cfRule>
  </conditionalFormatting>
  <conditionalFormatting sqref="H3:H34 H36:H51 H53:H76 H78:H101">
    <cfRule type="cellIs" dxfId="4" priority="7" operator="equal">
      <formula>"미검토"</formula>
    </cfRule>
  </conditionalFormatting>
  <dataValidations>
    <dataValidation type="list" allowBlank="1" sqref="H3:H34 H36:H51 H53:H76 H78:H101">
      <formula1>"미검토,검토중,승인,반려"</formula1>
    </dataValidation>
    <dataValidation type="list" allowBlank="1" sqref="F3:F34 F36:F51 F53:F76 F78:F101">
      <formula1>"미제출,제출완료,재제출"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4" width="11.0"/>
    <col customWidth="1" min="5" max="5" width="8.0"/>
    <col customWidth="1" min="6" max="6" width="9.0"/>
    <col customWidth="1" min="7" max="7" width="8.71"/>
  </cols>
  <sheetData>
    <row r="1">
      <c r="A1" s="1" t="s">
        <v>4</v>
      </c>
    </row>
    <row r="2">
      <c r="A2" s="6" t="s">
        <v>11</v>
      </c>
    </row>
    <row r="4" ht="21.75" customHeight="1">
      <c r="A4" s="12" t="s">
        <v>24</v>
      </c>
      <c r="B4" s="15"/>
      <c r="C4" s="15"/>
      <c r="D4" s="15"/>
      <c r="E4" s="15"/>
      <c r="F4" s="15"/>
      <c r="G4" s="18"/>
    </row>
    <row r="5" ht="19.5" customHeight="1">
      <c r="A5" s="20" t="s">
        <v>33</v>
      </c>
      <c r="B5" s="22" t="s">
        <v>27</v>
      </c>
      <c r="C5" s="22" t="s">
        <v>41</v>
      </c>
      <c r="D5" s="22" t="s">
        <v>42</v>
      </c>
      <c r="E5" s="22" t="s">
        <v>44</v>
      </c>
      <c r="F5" s="20" t="s">
        <v>46</v>
      </c>
      <c r="G5" s="20" t="s">
        <v>47</v>
      </c>
    </row>
    <row r="6" ht="19.5" customHeight="1">
      <c r="A6" s="33" t="str">
        <f>IF('제출현황'!A3="","",'제출현황'!A3)</f>
        <v>예시팀명
(팀원 이름)</v>
      </c>
      <c r="B6" s="44" t="str">
        <f t="array" ref="B6">IF('제출현황'!A3="","",IFERROR(INDEX('제출현황'!$F$3:$F$34,MATCH('제출현황'!A3&amp;"|"&amp;"P1-1",'제출현황'!$J$3:$J$34,0)),""))</f>
        <v>제출완료</v>
      </c>
      <c r="C6" s="44" t="str">
        <f t="array" ref="C6">IF('제출현황'!A3="","",IFERROR(INDEX('제출현황'!$F$3:$F$34,MATCH('제출현황'!A3&amp;"|"&amp;"P1-2",'제출현황'!$J$3:$J$34,0)),""))</f>
        <v>제출완료</v>
      </c>
      <c r="D6" s="44" t="str">
        <f t="array" ref="D6">IF('제출현황'!A3="","",IFERROR(INDEX('제출현황'!$F$3:$F$34,MATCH('제출현황'!A3&amp;"|"&amp;"P1-3",'제출현황'!$J$3:$J$34,0)),""))</f>
        <v>미제출</v>
      </c>
      <c r="E6" s="44" t="str">
        <f t="array" ref="E6">IF('제출현황'!A3="","",IFERROR(INDEX('제출현황'!$F$3:$F$34,MATCH('제출현황'!A3&amp;"|"&amp;"P1-4",'제출현황'!$J$3:$J$34,0)),""))</f>
        <v>미제출</v>
      </c>
      <c r="F6" s="46">
        <f>IF('제출현황'!A3="","",COUNTIF('제출현황'!F3:F6,"제출완료"))</f>
        <v>2</v>
      </c>
      <c r="G6" s="47">
        <f>IF('제출현황'!A3="","",COUNTIF('제출현황'!F3:F6,"제출완료")/4)</f>
        <v>0.5</v>
      </c>
    </row>
    <row r="7" ht="19.5" customHeight="1">
      <c r="A7" s="33" t="str">
        <f>IF('제출현황'!A7="","",'제출현황'!A7)</f>
        <v/>
      </c>
      <c r="B7" s="44" t="str">
        <f t="array" ref="B7">IF('제출현황'!A7="","",IFERROR(INDEX('제출현황'!$F$3:$F$34,MATCH('제출현황'!A7&amp;"|"&amp;"P1-1",'제출현황'!$J$3:$J$34,0)),""))</f>
        <v/>
      </c>
      <c r="C7" s="44" t="str">
        <f t="array" ref="C7">IF('제출현황'!A7="","",IFERROR(INDEX('제출현황'!$F$3:$F$34,MATCH('제출현황'!A7&amp;"|"&amp;"P1-2",'제출현황'!$J$3:$J$34,0)),""))</f>
        <v/>
      </c>
      <c r="D7" s="44" t="str">
        <f t="array" ref="D7">IF('제출현황'!A7="","",IFERROR(INDEX('제출현황'!$F$3:$F$34,MATCH('제출현황'!A7&amp;"|"&amp;"P1-3",'제출현황'!$J$3:$J$34,0)),""))</f>
        <v/>
      </c>
      <c r="E7" s="44" t="str">
        <f t="array" ref="E7">IF('제출현황'!A7="","",IFERROR(INDEX('제출현황'!$F$3:$F$34,MATCH('제출현황'!A7&amp;"|"&amp;"P1-4",'제출현황'!$J$3:$J$34,0)),""))</f>
        <v/>
      </c>
      <c r="F7" s="46" t="str">
        <f>IF('제출현황'!A7="","",COUNTIF('제출현황'!F7:F10,"제출완료"))</f>
        <v/>
      </c>
      <c r="G7" s="47" t="str">
        <f>IF('제출현황'!A7="","",COUNTIF('제출현황'!F7:F10,"제출완료")/4)</f>
        <v/>
      </c>
    </row>
    <row r="8" ht="19.5" customHeight="1">
      <c r="A8" s="33" t="str">
        <f>IF('제출현황'!A11="","",'제출현황'!A11)</f>
        <v/>
      </c>
      <c r="B8" s="44" t="str">
        <f t="array" ref="B8">IF('제출현황'!A11="","",IFERROR(INDEX('제출현황'!$F$3:$F$34,MATCH('제출현황'!A11&amp;"|"&amp;"P1-1",'제출현황'!$J$3:$J$34,0)),""))</f>
        <v/>
      </c>
      <c r="C8" s="44" t="str">
        <f t="array" ref="C8">IF('제출현황'!A11="","",IFERROR(INDEX('제출현황'!$F$3:$F$34,MATCH('제출현황'!A11&amp;"|"&amp;"P1-2",'제출현황'!$J$3:$J$34,0)),""))</f>
        <v/>
      </c>
      <c r="D8" s="44" t="str">
        <f t="array" ref="D8">IF('제출현황'!A11="","",IFERROR(INDEX('제출현황'!$F$3:$F$34,MATCH('제출현황'!A11&amp;"|"&amp;"P1-3",'제출현황'!$J$3:$J$34,0)),""))</f>
        <v/>
      </c>
      <c r="E8" s="44" t="str">
        <f t="array" ref="E8">IF('제출현황'!A11="","",IFERROR(INDEX('제출현황'!$F$3:$F$34,MATCH('제출현황'!A11&amp;"|"&amp;"P1-4",'제출현황'!$J$3:$J$34,0)),""))</f>
        <v/>
      </c>
      <c r="F8" s="46" t="str">
        <f>IF('제출현황'!A11="","",COUNTIF('제출현황'!F11:F14,"제출완료"))</f>
        <v/>
      </c>
      <c r="G8" s="47" t="str">
        <f>IF('제출현황'!A11="","",COUNTIF('제출현황'!F11:F14,"제출완료")/4)</f>
        <v/>
      </c>
    </row>
    <row r="9" ht="19.5" customHeight="1">
      <c r="A9" s="33" t="str">
        <f>IF('제출현황'!A15="","",'제출현황'!A15)</f>
        <v/>
      </c>
      <c r="B9" s="44" t="str">
        <f t="array" ref="B9">IF('제출현황'!A15="","",IFERROR(INDEX('제출현황'!$F$3:$F$34,MATCH('제출현황'!A15&amp;"|"&amp;"P1-1",'제출현황'!$J$3:$J$34,0)),""))</f>
        <v/>
      </c>
      <c r="C9" s="44" t="str">
        <f t="array" ref="C9">IF('제출현황'!A15="","",IFERROR(INDEX('제출현황'!$F$3:$F$34,MATCH('제출현황'!A15&amp;"|"&amp;"P1-2",'제출현황'!$J$3:$J$34,0)),""))</f>
        <v/>
      </c>
      <c r="D9" s="44" t="str">
        <f t="array" ref="D9">IF('제출현황'!A15="","",IFERROR(INDEX('제출현황'!$F$3:$F$34,MATCH('제출현황'!A15&amp;"|"&amp;"P1-3",'제출현황'!$J$3:$J$34,0)),""))</f>
        <v/>
      </c>
      <c r="E9" s="44" t="str">
        <f t="array" ref="E9">IF('제출현황'!A15="","",IFERROR(INDEX('제출현황'!$F$3:$F$34,MATCH('제출현황'!A15&amp;"|"&amp;"P1-4",'제출현황'!$J$3:$J$34,0)),""))</f>
        <v/>
      </c>
      <c r="F9" s="46" t="str">
        <f>IF('제출현황'!A15="","",COUNTIF('제출현황'!F15:F18,"제출완료"))</f>
        <v/>
      </c>
      <c r="G9" s="47" t="str">
        <f>IF('제출현황'!A15="","",COUNTIF('제출현황'!F15:F18,"제출완료")/4)</f>
        <v/>
      </c>
    </row>
    <row r="10" ht="19.5" customHeight="1">
      <c r="A10" s="33" t="str">
        <f>IF('제출현황'!A19="","",'제출현황'!A19)</f>
        <v/>
      </c>
      <c r="B10" s="44" t="str">
        <f t="array" ref="B10">IF('제출현황'!A19="","",IFERROR(INDEX('제출현황'!$F$3:$F$34,MATCH('제출현황'!A19&amp;"|"&amp;"P1-1",'제출현황'!$J$3:$J$34,0)),""))</f>
        <v/>
      </c>
      <c r="C10" s="44" t="str">
        <f t="array" ref="C10">IF('제출현황'!A19="","",IFERROR(INDEX('제출현황'!$F$3:$F$34,MATCH('제출현황'!A19&amp;"|"&amp;"P1-2",'제출현황'!$J$3:$J$34,0)),""))</f>
        <v/>
      </c>
      <c r="D10" s="44" t="str">
        <f t="array" ref="D10">IF('제출현황'!A19="","",IFERROR(INDEX('제출현황'!$F$3:$F$34,MATCH('제출현황'!A19&amp;"|"&amp;"P1-3",'제출현황'!$J$3:$J$34,0)),""))</f>
        <v/>
      </c>
      <c r="E10" s="44" t="str">
        <f t="array" ref="E10">IF('제출현황'!A19="","",IFERROR(INDEX('제출현황'!$F$3:$F$34,MATCH('제출현황'!A19&amp;"|"&amp;"P1-4",'제출현황'!$J$3:$J$34,0)),""))</f>
        <v/>
      </c>
      <c r="F10" s="46" t="str">
        <f>IF('제출현황'!A19="","",COUNTIF('제출현황'!F19:F22,"제출완료"))</f>
        <v/>
      </c>
      <c r="G10" s="47" t="str">
        <f>IF('제출현황'!A19="","",COUNTIF('제출현황'!F19:F22,"제출완료")/4)</f>
        <v/>
      </c>
    </row>
    <row r="11" ht="19.5" customHeight="1">
      <c r="A11" s="33" t="str">
        <f>IF('제출현황'!A23="","",'제출현황'!A23)</f>
        <v/>
      </c>
      <c r="B11" s="44" t="str">
        <f t="array" ref="B11">IF('제출현황'!A23="","",IFERROR(INDEX('제출현황'!$F$3:$F$34,MATCH('제출현황'!A23&amp;"|"&amp;"P1-1",'제출현황'!$J$3:$J$34,0)),""))</f>
        <v/>
      </c>
      <c r="C11" s="44" t="str">
        <f t="array" ref="C11">IF('제출현황'!A23="","",IFERROR(INDEX('제출현황'!$F$3:$F$34,MATCH('제출현황'!A23&amp;"|"&amp;"P1-2",'제출현황'!$J$3:$J$34,0)),""))</f>
        <v/>
      </c>
      <c r="D11" s="44" t="str">
        <f t="array" ref="D11">IF('제출현황'!A23="","",IFERROR(INDEX('제출현황'!$F$3:$F$34,MATCH('제출현황'!A23&amp;"|"&amp;"P1-3",'제출현황'!$J$3:$J$34,0)),""))</f>
        <v/>
      </c>
      <c r="E11" s="44" t="str">
        <f t="array" ref="E11">IF('제출현황'!A23="","",IFERROR(INDEX('제출현황'!$F$3:$F$34,MATCH('제출현황'!A23&amp;"|"&amp;"P1-4",'제출현황'!$J$3:$J$34,0)),""))</f>
        <v/>
      </c>
      <c r="F11" s="46" t="str">
        <f>IF('제출현황'!A23="","",COUNTIF('제출현황'!F23:F26,"제출완료"))</f>
        <v/>
      </c>
      <c r="G11" s="47" t="str">
        <f>IF('제출현황'!A23="","",COUNTIF('제출현황'!F23:F26,"제출완료")/4)</f>
        <v/>
      </c>
    </row>
    <row r="12" ht="19.5" customHeight="1">
      <c r="A12" s="33" t="str">
        <f>IF('제출현황'!A27="","",'제출현황'!A27)</f>
        <v/>
      </c>
      <c r="B12" s="44" t="str">
        <f t="array" ref="B12">IF('제출현황'!A27="","",IFERROR(INDEX('제출현황'!$F$3:$F$34,MATCH('제출현황'!A27&amp;"|"&amp;"P1-1",'제출현황'!$J$3:$J$34,0)),""))</f>
        <v/>
      </c>
      <c r="C12" s="44" t="str">
        <f t="array" ref="C12">IF('제출현황'!A27="","",IFERROR(INDEX('제출현황'!$F$3:$F$34,MATCH('제출현황'!A27&amp;"|"&amp;"P1-2",'제출현황'!$J$3:$J$34,0)),""))</f>
        <v/>
      </c>
      <c r="D12" s="44" t="str">
        <f t="array" ref="D12">IF('제출현황'!A27="","",IFERROR(INDEX('제출현황'!$F$3:$F$34,MATCH('제출현황'!A27&amp;"|"&amp;"P1-3",'제출현황'!$J$3:$J$34,0)),""))</f>
        <v/>
      </c>
      <c r="E12" s="44" t="str">
        <f t="array" ref="E12">IF('제출현황'!A27="","",IFERROR(INDEX('제출현황'!$F$3:$F$34,MATCH('제출현황'!A27&amp;"|"&amp;"P1-4",'제출현황'!$J$3:$J$34,0)),""))</f>
        <v/>
      </c>
      <c r="F12" s="46" t="str">
        <f>IF('제출현황'!A27="","",COUNTIF('제출현황'!F27:F30,"제출완료"))</f>
        <v/>
      </c>
      <c r="G12" s="47" t="str">
        <f>IF('제출현황'!A27="","",COUNTIF('제출현황'!F27:F30,"제출완료")/4)</f>
        <v/>
      </c>
    </row>
    <row r="13" ht="19.5" customHeight="1">
      <c r="A13" s="33" t="str">
        <f>IF('제출현황'!A31="","",'제출현황'!A31)</f>
        <v/>
      </c>
      <c r="B13" s="44" t="str">
        <f t="array" ref="B13">IF('제출현황'!A31="","",IFERROR(INDEX('제출현황'!$F$3:$F$34,MATCH('제출현황'!A31&amp;"|"&amp;"P1-1",'제출현황'!$J$3:$J$34,0)),""))</f>
        <v/>
      </c>
      <c r="C13" s="44" t="str">
        <f t="array" ref="C13">IF('제출현황'!A31="","",IFERROR(INDEX('제출현황'!$F$3:$F$34,MATCH('제출현황'!A31&amp;"|"&amp;"P1-2",'제출현황'!$J$3:$J$34,0)),""))</f>
        <v/>
      </c>
      <c r="D13" s="44" t="str">
        <f t="array" ref="D13">IF('제출현황'!A31="","",IFERROR(INDEX('제출현황'!$F$3:$F$34,MATCH('제출현황'!A31&amp;"|"&amp;"P1-3",'제출현황'!$J$3:$J$34,0)),""))</f>
        <v/>
      </c>
      <c r="E13" s="44" t="str">
        <f t="array" ref="E13">IF('제출현황'!A31="","",IFERROR(INDEX('제출현황'!$F$3:$F$34,MATCH('제출현황'!A31&amp;"|"&amp;"P1-4",'제출현황'!$J$3:$J$34,0)),""))</f>
        <v/>
      </c>
      <c r="F13" s="46" t="str">
        <f>IF('제출현황'!A31="","",COUNTIF('제출현황'!F31:F34,"제출완료"))</f>
        <v/>
      </c>
      <c r="G13" s="47" t="str">
        <f>IF('제출현황'!A31="","",COUNTIF('제출현황'!F31:F34,"제출완료")/4)</f>
        <v/>
      </c>
    </row>
    <row r="14">
      <c r="A14" s="49" t="s">
        <v>229</v>
      </c>
      <c r="B14" s="50">
        <f>COUNTIFS('제출현황'!$C$3:$C$34,"P1-1",'제출현황'!$F$3:$F$34,"제출완료")</f>
        <v>1</v>
      </c>
      <c r="C14" s="50">
        <f>COUNTIFS('제출현황'!$C$3:$C$34,"P1-2",'제출현황'!$F$3:$F$34,"제출완료")</f>
        <v>1</v>
      </c>
      <c r="D14" s="50">
        <f>COUNTIFS('제출현황'!$C$3:$C$34,"P1-3",'제출현황'!$F$3:$F$34,"제출완료")</f>
        <v>0</v>
      </c>
      <c r="E14" s="50">
        <f>COUNTIFS('제출현황'!$C$3:$C$34,"P1-4",'제출현황'!$F$3:$F$34,"제출완료")</f>
        <v>0</v>
      </c>
      <c r="F14" s="50">
        <f>COUNTIF('제출현황'!F3:F34,"제출완료")</f>
        <v>2</v>
      </c>
    </row>
    <row r="16" ht="21.75" customHeight="1">
      <c r="A16" s="12" t="s">
        <v>233</v>
      </c>
      <c r="B16" s="15"/>
      <c r="C16" s="15"/>
      <c r="D16" s="15"/>
      <c r="E16" s="18"/>
    </row>
    <row r="17" ht="19.5" customHeight="1">
      <c r="A17" s="20" t="s">
        <v>234</v>
      </c>
      <c r="B17" s="22" t="s">
        <v>82</v>
      </c>
      <c r="C17" s="22" t="s">
        <v>90</v>
      </c>
      <c r="D17" s="20" t="s">
        <v>46</v>
      </c>
      <c r="E17" s="20" t="s">
        <v>47</v>
      </c>
    </row>
    <row r="18" ht="19.5" customHeight="1">
      <c r="A18" s="33" t="str">
        <f>IF('제출현황'!A36="","",'제출현황'!A36)</f>
        <v/>
      </c>
      <c r="B18" s="44" t="str">
        <f t="array" ref="B18">IF('제출현황'!A36="","",IFERROR(INDEX('제출현황'!$F$36:$F$51,MATCH('제출현황'!A36&amp;"|"&amp;"P2-1",'제출현황'!$J$36:$J$51,0)),""))</f>
        <v/>
      </c>
      <c r="C18" s="44" t="str">
        <f t="array" ref="C18">IF('제출현황'!A36="","",IFERROR(INDEX('제출현황'!$F$36:$F$51,MATCH('제출현황'!A36&amp;"|"&amp;"P2-2",'제출현황'!$J$36:$J$51,0)),""))</f>
        <v/>
      </c>
      <c r="D18" s="46" t="str">
        <f>IF('제출현황'!A36="","",COUNTIF('제출현황'!F36:F37,"제출완료"))</f>
        <v/>
      </c>
      <c r="E18" s="47" t="str">
        <f>IF('제출현황'!A36="","",COUNTIF('제출현황'!F36:F37,"제출완료")/2)</f>
        <v/>
      </c>
    </row>
    <row r="19" ht="19.5" customHeight="1">
      <c r="A19" s="33" t="str">
        <f>IF('제출현황'!A38="","",'제출현황'!A38)</f>
        <v/>
      </c>
      <c r="B19" s="44" t="str">
        <f t="array" ref="B19">IF('제출현황'!A38="","",IFERROR(INDEX('제출현황'!$F$36:$F$51,MATCH('제출현황'!A38&amp;"|"&amp;"P2-1",'제출현황'!$J$36:$J$51,0)),""))</f>
        <v/>
      </c>
      <c r="C19" s="44" t="str">
        <f t="array" ref="C19">IF('제출현황'!A38="","",IFERROR(INDEX('제출현황'!$F$36:$F$51,MATCH('제출현황'!A38&amp;"|"&amp;"P2-2",'제출현황'!$J$36:$J$51,0)),""))</f>
        <v/>
      </c>
      <c r="D19" s="46" t="str">
        <f>IF('제출현황'!A38="","",COUNTIF('제출현황'!F38:F39,"제출완료"))</f>
        <v/>
      </c>
      <c r="E19" s="47" t="str">
        <f>IF('제출현황'!A38="","",COUNTIF('제출현황'!F38:F39,"제출완료")/2)</f>
        <v/>
      </c>
    </row>
    <row r="20" ht="19.5" customHeight="1">
      <c r="A20" s="33" t="str">
        <f>IF('제출현황'!A40="","",'제출현황'!A40)</f>
        <v/>
      </c>
      <c r="B20" s="44" t="str">
        <f t="array" ref="B20">IF('제출현황'!A40="","",IFERROR(INDEX('제출현황'!$F$36:$F$51,MATCH('제출현황'!A40&amp;"|"&amp;"P2-1",'제출현황'!$J$36:$J$51,0)),""))</f>
        <v/>
      </c>
      <c r="C20" s="44" t="str">
        <f t="array" ref="C20">IF('제출현황'!A40="","",IFERROR(INDEX('제출현황'!$F$36:$F$51,MATCH('제출현황'!A40&amp;"|"&amp;"P2-2",'제출현황'!$J$36:$J$51,0)),""))</f>
        <v/>
      </c>
      <c r="D20" s="46" t="str">
        <f>IF('제출현황'!A40="","",COUNTIF('제출현황'!F40:F41,"제출완료"))</f>
        <v/>
      </c>
      <c r="E20" s="47" t="str">
        <f>IF('제출현황'!A40="","",COUNTIF('제출현황'!F40:F41,"제출완료")/2)</f>
        <v/>
      </c>
    </row>
    <row r="21" ht="19.5" customHeight="1">
      <c r="A21" s="33" t="str">
        <f>IF('제출현황'!A42="","",'제출현황'!A42)</f>
        <v/>
      </c>
      <c r="B21" s="44" t="str">
        <f t="array" ref="B21">IF('제출현황'!A42="","",IFERROR(INDEX('제출현황'!$F$36:$F$51,MATCH('제출현황'!A42&amp;"|"&amp;"P2-1",'제출현황'!$J$36:$J$51,0)),""))</f>
        <v/>
      </c>
      <c r="C21" s="44" t="str">
        <f t="array" ref="C21">IF('제출현황'!A42="","",IFERROR(INDEX('제출현황'!$F$36:$F$51,MATCH('제출현황'!A42&amp;"|"&amp;"P2-2",'제출현황'!$J$36:$J$51,0)),""))</f>
        <v/>
      </c>
      <c r="D21" s="46" t="str">
        <f>IF('제출현황'!A42="","",COUNTIF('제출현황'!F42:F43,"제출완료"))</f>
        <v/>
      </c>
      <c r="E21" s="47" t="str">
        <f>IF('제출현황'!A42="","",COUNTIF('제출현황'!F42:F43,"제출완료")/2)</f>
        <v/>
      </c>
    </row>
    <row r="22" ht="19.5" customHeight="1">
      <c r="A22" s="33" t="str">
        <f>IF('제출현황'!A44="","",'제출현황'!A44)</f>
        <v/>
      </c>
      <c r="B22" s="44" t="str">
        <f t="array" ref="B22">IF('제출현황'!A44="","",IFERROR(INDEX('제출현황'!$F$36:$F$51,MATCH('제출현황'!A44&amp;"|"&amp;"P2-1",'제출현황'!$J$36:$J$51,0)),""))</f>
        <v/>
      </c>
      <c r="C22" s="44" t="str">
        <f t="array" ref="C22">IF('제출현황'!A44="","",IFERROR(INDEX('제출현황'!$F$36:$F$51,MATCH('제출현황'!A44&amp;"|"&amp;"P2-2",'제출현황'!$J$36:$J$51,0)),""))</f>
        <v/>
      </c>
      <c r="D22" s="46" t="str">
        <f>IF('제출현황'!A44="","",COUNTIF('제출현황'!F44:F45,"제출완료"))</f>
        <v/>
      </c>
      <c r="E22" s="47" t="str">
        <f>IF('제출현황'!A44="","",COUNTIF('제출현황'!F44:F45,"제출완료")/2)</f>
        <v/>
      </c>
    </row>
    <row r="23" ht="19.5" customHeight="1">
      <c r="A23" s="33" t="str">
        <f>IF('제출현황'!A46="","",'제출현황'!A46)</f>
        <v/>
      </c>
      <c r="B23" s="44" t="str">
        <f t="array" ref="B23">IF('제출현황'!A46="","",IFERROR(INDEX('제출현황'!$F$36:$F$51,MATCH('제출현황'!A46&amp;"|"&amp;"P2-1",'제출현황'!$J$36:$J$51,0)),""))</f>
        <v/>
      </c>
      <c r="C23" s="44" t="str">
        <f t="array" ref="C23">IF('제출현황'!A46="","",IFERROR(INDEX('제출현황'!$F$36:$F$51,MATCH('제출현황'!A46&amp;"|"&amp;"P2-2",'제출현황'!$J$36:$J$51,0)),""))</f>
        <v/>
      </c>
      <c r="D23" s="46" t="str">
        <f>IF('제출현황'!A46="","",COUNTIF('제출현황'!F46:F47,"제출완료"))</f>
        <v/>
      </c>
      <c r="E23" s="47" t="str">
        <f>IF('제출현황'!A46="","",COUNTIF('제출현황'!F46:F47,"제출완료")/2)</f>
        <v/>
      </c>
    </row>
    <row r="24" ht="19.5" customHeight="1">
      <c r="A24" s="33" t="str">
        <f>IF('제출현황'!A48="","",'제출현황'!A48)</f>
        <v/>
      </c>
      <c r="B24" s="44" t="str">
        <f t="array" ref="B24">IF('제출현황'!A48="","",IFERROR(INDEX('제출현황'!$F$36:$F$51,MATCH('제출현황'!A48&amp;"|"&amp;"P2-1",'제출현황'!$J$36:$J$51,0)),""))</f>
        <v/>
      </c>
      <c r="C24" s="44" t="str">
        <f t="array" ref="C24">IF('제출현황'!A48="","",IFERROR(INDEX('제출현황'!$F$36:$F$51,MATCH('제출현황'!A48&amp;"|"&amp;"P2-2",'제출현황'!$J$36:$J$51,0)),""))</f>
        <v/>
      </c>
      <c r="D24" s="46" t="str">
        <f>IF('제출현황'!A48="","",COUNTIF('제출현황'!F48:F49,"제출완료"))</f>
        <v/>
      </c>
      <c r="E24" s="47" t="str">
        <f>IF('제출현황'!A48="","",COUNTIF('제출현황'!F48:F49,"제출완료")/2)</f>
        <v/>
      </c>
    </row>
    <row r="25" ht="19.5" customHeight="1">
      <c r="A25" s="33" t="str">
        <f>IF('제출현황'!A50="","",'제출현황'!A50)</f>
        <v/>
      </c>
      <c r="B25" s="44" t="str">
        <f t="array" ref="B25">IF('제출현황'!A50="","",IFERROR(INDEX('제출현황'!$F$36:$F$51,MATCH('제출현황'!A50&amp;"|"&amp;"P2-1",'제출현황'!$J$36:$J$51,0)),""))</f>
        <v/>
      </c>
      <c r="C25" s="44" t="str">
        <f t="array" ref="C25">IF('제출현황'!A50="","",IFERROR(INDEX('제출현황'!$F$36:$F$51,MATCH('제출현황'!A50&amp;"|"&amp;"P2-2",'제출현황'!$J$36:$J$51,0)),""))</f>
        <v/>
      </c>
      <c r="D25" s="46" t="str">
        <f>IF('제출현황'!A50="","",COUNTIF('제출현황'!F50:F51,"제출완료"))</f>
        <v/>
      </c>
      <c r="E25" s="47" t="str">
        <f>IF('제출현황'!A50="","",COUNTIF('제출현황'!F50:F51,"제출완료")/2)</f>
        <v/>
      </c>
    </row>
    <row r="26" ht="15.75" customHeight="1">
      <c r="A26" s="49" t="s">
        <v>235</v>
      </c>
      <c r="B26" s="50">
        <f>COUNTIFS('제출현황'!$C$36:$C$51,"P2-1",'제출현황'!$F$36:$F$51,"제출완료")</f>
        <v>0</v>
      </c>
      <c r="C26" s="50">
        <f>COUNTIFS('제출현황'!$C$36:$C$51,"P2-2",'제출현황'!$F$36:$F$51,"제출완료")</f>
        <v>0</v>
      </c>
      <c r="D26" s="50">
        <f>COUNTIF('제출현황'!F36:F51,"제출완료")</f>
        <v>0</v>
      </c>
    </row>
    <row r="27" ht="15.75" customHeight="1"/>
    <row r="28" ht="21.75" customHeight="1">
      <c r="A28" s="12" t="s">
        <v>236</v>
      </c>
      <c r="B28" s="15"/>
      <c r="C28" s="15"/>
      <c r="D28" s="15"/>
      <c r="E28" s="15"/>
      <c r="F28" s="18"/>
    </row>
    <row r="29" ht="19.5" customHeight="1">
      <c r="A29" s="20" t="s">
        <v>237</v>
      </c>
      <c r="B29" s="22" t="s">
        <v>100</v>
      </c>
      <c r="C29" s="22" t="s">
        <v>103</v>
      </c>
      <c r="D29" s="22" t="s">
        <v>107</v>
      </c>
      <c r="E29" s="20" t="s">
        <v>46</v>
      </c>
      <c r="F29" s="20" t="s">
        <v>47</v>
      </c>
    </row>
    <row r="30" ht="19.5" customHeight="1">
      <c r="A30" s="33" t="str">
        <f>IF('제출현황'!A53="","",'제출현황'!A53)</f>
        <v/>
      </c>
      <c r="B30" s="44" t="str">
        <f t="array" ref="B30">IF('제출현황'!A53="","",IFERROR(INDEX('제출현황'!$F$53:$F$76,MATCH('제출현황'!A53&amp;"|"&amp;"P3-1",'제출현황'!$J$53:$J$76,0)),""))</f>
        <v/>
      </c>
      <c r="C30" s="44" t="str">
        <f t="array" ref="C30">IF('제출현황'!A53="","",IFERROR(INDEX('제출현황'!$F$53:$F$76,MATCH('제출현황'!A53&amp;"|"&amp;"P3-2",'제출현황'!$J$53:$J$76,0)),""))</f>
        <v/>
      </c>
      <c r="D30" s="44" t="str">
        <f t="array" ref="D30">IF('제출현황'!A53="","",IFERROR(INDEX('제출현황'!$F$53:$F$76,MATCH('제출현황'!A53&amp;"|"&amp;"P3-3",'제출현황'!$J$53:$J$76,0)),""))</f>
        <v/>
      </c>
      <c r="E30" s="46" t="str">
        <f>IF('제출현황'!A53="","",COUNTIF('제출현황'!F53:F55,"제출완료"))</f>
        <v/>
      </c>
      <c r="F30" s="47" t="str">
        <f>IF('제출현황'!A53="","",COUNTIF('제출현황'!F53:F55,"제출완료")/3)</f>
        <v/>
      </c>
    </row>
    <row r="31" ht="19.5" customHeight="1">
      <c r="A31" s="33" t="str">
        <f>IF('제출현황'!A56="","",'제출현황'!A56)</f>
        <v/>
      </c>
      <c r="B31" s="44" t="str">
        <f t="array" ref="B31">IF('제출현황'!A56="","",IFERROR(INDEX('제출현황'!$F$53:$F$76,MATCH('제출현황'!A56&amp;"|"&amp;"P3-1",'제출현황'!$J$53:$J$76,0)),""))</f>
        <v/>
      </c>
      <c r="C31" s="44" t="str">
        <f t="array" ref="C31">IF('제출현황'!A56="","",IFERROR(INDEX('제출현황'!$F$53:$F$76,MATCH('제출현황'!A56&amp;"|"&amp;"P3-2",'제출현황'!$J$53:$J$76,0)),""))</f>
        <v/>
      </c>
      <c r="D31" s="44" t="str">
        <f t="array" ref="D31">IF('제출현황'!A56="","",IFERROR(INDEX('제출현황'!$F$53:$F$76,MATCH('제출현황'!A56&amp;"|"&amp;"P3-3",'제출현황'!$J$53:$J$76,0)),""))</f>
        <v/>
      </c>
      <c r="E31" s="46" t="str">
        <f>IF('제출현황'!A56="","",COUNTIF('제출현황'!F56:F58,"제출완료"))</f>
        <v/>
      </c>
      <c r="F31" s="47" t="str">
        <f>IF('제출현황'!A56="","",COUNTIF('제출현황'!F56:F58,"제출완료")/3)</f>
        <v/>
      </c>
    </row>
    <row r="32" ht="19.5" customHeight="1">
      <c r="A32" s="33" t="str">
        <f>IF('제출현황'!A59="","",'제출현황'!A59)</f>
        <v/>
      </c>
      <c r="B32" s="44" t="str">
        <f t="array" ref="B32">IF('제출현황'!A59="","",IFERROR(INDEX('제출현황'!$F$53:$F$76,MATCH('제출현황'!A59&amp;"|"&amp;"P3-1",'제출현황'!$J$53:$J$76,0)),""))</f>
        <v/>
      </c>
      <c r="C32" s="44" t="str">
        <f t="array" ref="C32">IF('제출현황'!A59="","",IFERROR(INDEX('제출현황'!$F$53:$F$76,MATCH('제출현황'!A59&amp;"|"&amp;"P3-2",'제출현황'!$J$53:$J$76,0)),""))</f>
        <v/>
      </c>
      <c r="D32" s="44" t="str">
        <f t="array" ref="D32">IF('제출현황'!A59="","",IFERROR(INDEX('제출현황'!$F$53:$F$76,MATCH('제출현황'!A59&amp;"|"&amp;"P3-3",'제출현황'!$J$53:$J$76,0)),""))</f>
        <v/>
      </c>
      <c r="E32" s="46" t="str">
        <f>IF('제출현황'!A59="","",COUNTIF('제출현황'!F59:F61,"제출완료"))</f>
        <v/>
      </c>
      <c r="F32" s="47" t="str">
        <f>IF('제출현황'!A59="","",COUNTIF('제출현황'!F59:F61,"제출완료")/3)</f>
        <v/>
      </c>
    </row>
    <row r="33" ht="19.5" customHeight="1">
      <c r="A33" s="33" t="str">
        <f>IF('제출현황'!A62="","",'제출현황'!A62)</f>
        <v/>
      </c>
      <c r="B33" s="44" t="str">
        <f t="array" ref="B33">IF('제출현황'!A62="","",IFERROR(INDEX('제출현황'!$F$53:$F$76,MATCH('제출현황'!A62&amp;"|"&amp;"P3-1",'제출현황'!$J$53:$J$76,0)),""))</f>
        <v/>
      </c>
      <c r="C33" s="44" t="str">
        <f t="array" ref="C33">IF('제출현황'!A62="","",IFERROR(INDEX('제출현황'!$F$53:$F$76,MATCH('제출현황'!A62&amp;"|"&amp;"P3-2",'제출현황'!$J$53:$J$76,0)),""))</f>
        <v/>
      </c>
      <c r="D33" s="44" t="str">
        <f t="array" ref="D33">IF('제출현황'!A62="","",IFERROR(INDEX('제출현황'!$F$53:$F$76,MATCH('제출현황'!A62&amp;"|"&amp;"P3-3",'제출현황'!$J$53:$J$76,0)),""))</f>
        <v/>
      </c>
      <c r="E33" s="46" t="str">
        <f>IF('제출현황'!A62="","",COUNTIF('제출현황'!F62:F64,"제출완료"))</f>
        <v/>
      </c>
      <c r="F33" s="47" t="str">
        <f>IF('제출현황'!A62="","",COUNTIF('제출현황'!F62:F64,"제출완료")/3)</f>
        <v/>
      </c>
    </row>
    <row r="34" ht="19.5" customHeight="1">
      <c r="A34" s="33" t="str">
        <f>IF('제출현황'!A65="","",'제출현황'!A65)</f>
        <v/>
      </c>
      <c r="B34" s="44" t="str">
        <f t="array" ref="B34">IF('제출현황'!A65="","",IFERROR(INDEX('제출현황'!$F$53:$F$76,MATCH('제출현황'!A65&amp;"|"&amp;"P3-1",'제출현황'!$J$53:$J$76,0)),""))</f>
        <v/>
      </c>
      <c r="C34" s="44" t="str">
        <f t="array" ref="C34">IF('제출현황'!A65="","",IFERROR(INDEX('제출현황'!$F$53:$F$76,MATCH('제출현황'!A65&amp;"|"&amp;"P3-2",'제출현황'!$J$53:$J$76,0)),""))</f>
        <v/>
      </c>
      <c r="D34" s="44" t="str">
        <f t="array" ref="D34">IF('제출현황'!A65="","",IFERROR(INDEX('제출현황'!$F$53:$F$76,MATCH('제출현황'!A65&amp;"|"&amp;"P3-3",'제출현황'!$J$53:$J$76,0)),""))</f>
        <v/>
      </c>
      <c r="E34" s="46" t="str">
        <f>IF('제출현황'!A65="","",COUNTIF('제출현황'!F65:F67,"제출완료"))</f>
        <v/>
      </c>
      <c r="F34" s="47" t="str">
        <f>IF('제출현황'!A65="","",COUNTIF('제출현황'!F65:F67,"제출완료")/3)</f>
        <v/>
      </c>
    </row>
    <row r="35" ht="19.5" customHeight="1">
      <c r="A35" s="33" t="str">
        <f>IF('제출현황'!A68="","",'제출현황'!A68)</f>
        <v/>
      </c>
      <c r="B35" s="44" t="str">
        <f t="array" ref="B35">IF('제출현황'!A68="","",IFERROR(INDEX('제출현황'!$F$53:$F$76,MATCH('제출현황'!A68&amp;"|"&amp;"P3-1",'제출현황'!$J$53:$J$76,0)),""))</f>
        <v/>
      </c>
      <c r="C35" s="44" t="str">
        <f t="array" ref="C35">IF('제출현황'!A68="","",IFERROR(INDEX('제출현황'!$F$53:$F$76,MATCH('제출현황'!A68&amp;"|"&amp;"P3-2",'제출현황'!$J$53:$J$76,0)),""))</f>
        <v/>
      </c>
      <c r="D35" s="44" t="str">
        <f t="array" ref="D35">IF('제출현황'!A68="","",IFERROR(INDEX('제출현황'!$F$53:$F$76,MATCH('제출현황'!A68&amp;"|"&amp;"P3-3",'제출현황'!$J$53:$J$76,0)),""))</f>
        <v/>
      </c>
      <c r="E35" s="46" t="str">
        <f>IF('제출현황'!A68="","",COUNTIF('제출현황'!F68:F70,"제출완료"))</f>
        <v/>
      </c>
      <c r="F35" s="47" t="str">
        <f>IF('제출현황'!A68="","",COUNTIF('제출현황'!F68:F70,"제출완료")/3)</f>
        <v/>
      </c>
    </row>
    <row r="36" ht="19.5" customHeight="1">
      <c r="A36" s="33" t="str">
        <f>IF('제출현황'!A71="","",'제출현황'!A71)</f>
        <v/>
      </c>
      <c r="B36" s="44" t="str">
        <f t="array" ref="B36">IF('제출현황'!A71="","",IFERROR(INDEX('제출현황'!$F$53:$F$76,MATCH('제출현황'!A71&amp;"|"&amp;"P3-1",'제출현황'!$J$53:$J$76,0)),""))</f>
        <v/>
      </c>
      <c r="C36" s="44" t="str">
        <f t="array" ref="C36">IF('제출현황'!A71="","",IFERROR(INDEX('제출현황'!$F$53:$F$76,MATCH('제출현황'!A71&amp;"|"&amp;"P3-2",'제출현황'!$J$53:$J$76,0)),""))</f>
        <v/>
      </c>
      <c r="D36" s="44" t="str">
        <f t="array" ref="D36">IF('제출현황'!A71="","",IFERROR(INDEX('제출현황'!$F$53:$F$76,MATCH('제출현황'!A71&amp;"|"&amp;"P3-3",'제출현황'!$J$53:$J$76,0)),""))</f>
        <v/>
      </c>
      <c r="E36" s="46" t="str">
        <f>IF('제출현황'!A71="","",COUNTIF('제출현황'!F71:F73,"제출완료"))</f>
        <v/>
      </c>
      <c r="F36" s="47" t="str">
        <f>IF('제출현황'!A71="","",COUNTIF('제출현황'!F71:F73,"제출완료")/3)</f>
        <v/>
      </c>
    </row>
    <row r="37" ht="19.5" customHeight="1">
      <c r="A37" s="33" t="str">
        <f>IF('제출현황'!A74="","",'제출현황'!A74)</f>
        <v/>
      </c>
      <c r="B37" s="44" t="str">
        <f t="array" ref="B37">IF('제출현황'!A74="","",IFERROR(INDEX('제출현황'!$F$53:$F$76,MATCH('제출현황'!A74&amp;"|"&amp;"P3-1",'제출현황'!$J$53:$J$76,0)),""))</f>
        <v/>
      </c>
      <c r="C37" s="44" t="str">
        <f t="array" ref="C37">IF('제출현황'!A74="","",IFERROR(INDEX('제출현황'!$F$53:$F$76,MATCH('제출현황'!A74&amp;"|"&amp;"P3-2",'제출현황'!$J$53:$J$76,0)),""))</f>
        <v/>
      </c>
      <c r="D37" s="44" t="str">
        <f t="array" ref="D37">IF('제출현황'!A74="","",IFERROR(INDEX('제출현황'!$F$53:$F$76,MATCH('제출현황'!A74&amp;"|"&amp;"P3-3",'제출현황'!$J$53:$J$76,0)),""))</f>
        <v/>
      </c>
      <c r="E37" s="46" t="str">
        <f>IF('제출현황'!A74="","",COUNTIF('제출현황'!F74:F76,"제출완료"))</f>
        <v/>
      </c>
      <c r="F37" s="47" t="str">
        <f>IF('제출현황'!A74="","",COUNTIF('제출현황'!F74:F76,"제출완료")/3)</f>
        <v/>
      </c>
    </row>
    <row r="38" ht="15.75" customHeight="1">
      <c r="A38" s="49" t="s">
        <v>238</v>
      </c>
      <c r="B38" s="50">
        <f>COUNTIFS('제출현황'!$C$53:$C$76,"P3-1",'제출현황'!$F$53:$F$76,"제출완료")</f>
        <v>0</v>
      </c>
      <c r="C38" s="50">
        <f>COUNTIFS('제출현황'!$C$53:$C$76,"P3-2",'제출현황'!$F$53:$F$76,"제출완료")</f>
        <v>0</v>
      </c>
      <c r="D38" s="50">
        <f>COUNTIFS('제출현황'!$C$53:$C$76,"P3-3",'제출현황'!$F$53:$F$76,"제출완료")</f>
        <v>0</v>
      </c>
      <c r="E38" s="50">
        <f>COUNTIF('제출현황'!F53:F76,"제출완료")</f>
        <v>0</v>
      </c>
    </row>
    <row r="39" ht="15.75" customHeight="1"/>
    <row r="40" ht="15.75" customHeight="1">
      <c r="A40" s="12" t="s">
        <v>239</v>
      </c>
      <c r="B40" s="15"/>
      <c r="C40" s="15"/>
      <c r="D40" s="15"/>
      <c r="E40" s="15"/>
      <c r="F40" s="18"/>
    </row>
    <row r="41" ht="15.75" customHeight="1">
      <c r="A41" s="20" t="s">
        <v>240</v>
      </c>
      <c r="B41" s="22" t="s">
        <v>113</v>
      </c>
      <c r="C41" s="22" t="s">
        <v>116</v>
      </c>
      <c r="D41" s="22" t="s">
        <v>121</v>
      </c>
      <c r="E41" s="20" t="s">
        <v>46</v>
      </c>
      <c r="F41" s="20" t="s">
        <v>47</v>
      </c>
    </row>
    <row r="42" ht="15.75" customHeight="1">
      <c r="A42" s="33" t="str">
        <f>IF('제출현황'!A78="","",'제출현황'!A78)</f>
        <v/>
      </c>
      <c r="B42" s="44" t="str">
        <f t="array" ref="B42">IF('제출현황'!A78="","",IFERROR(INDEX('제출현황'!$F$78:$F$101,MATCH('제출현황'!A78&amp;"|"&amp;"P4-1",'제출현황'!$J$78:$J$101,0)),""))</f>
        <v/>
      </c>
      <c r="C42" s="44" t="str">
        <f t="array" ref="C42">IF('제출현황'!A78="","",IFERROR(INDEX('제출현황'!$F$78:$F$101,MATCH('제출현황'!A78&amp;"|"&amp;"P4-2",'제출현황'!$J$78:$J$101,0)),""))</f>
        <v/>
      </c>
      <c r="D42" s="44" t="str">
        <f t="array" ref="D42">IF('제출현황'!A78="","",IFERROR(INDEX('제출현황'!$F$78:$F$101,MATCH('제출현황'!A78&amp;"|"&amp;"P4-3",'제출현황'!$J$78:$J$101,0)),""))</f>
        <v/>
      </c>
      <c r="E42" s="46" t="str">
        <f>IF('제출현황'!A78="","",COUNTIF('제출현황'!F78:F80,"제출완료"))</f>
        <v/>
      </c>
      <c r="F42" s="47" t="str">
        <f>IF('제출현황'!A78="","",COUNTIF('제출현황'!F78:F80,"제출완료")/3)</f>
        <v/>
      </c>
    </row>
    <row r="43" ht="15.75" customHeight="1">
      <c r="A43" s="33" t="str">
        <f>IF('제출현황'!A81="","",'제출현황'!A81)</f>
        <v/>
      </c>
      <c r="B43" s="44" t="str">
        <f t="array" ref="B43">IF('제출현황'!A81="","",IFERROR(INDEX('제출현황'!$F$78:$F$101,MATCH('제출현황'!A81&amp;"|"&amp;"P4-1",'제출현황'!$J$78:$J$101,0)),""))</f>
        <v/>
      </c>
      <c r="C43" s="44" t="str">
        <f t="array" ref="C43">IF('제출현황'!A81="","",IFERROR(INDEX('제출현황'!$F$78:$F$101,MATCH('제출현황'!A81&amp;"|"&amp;"P4-2",'제출현황'!$J$78:$J$101,0)),""))</f>
        <v/>
      </c>
      <c r="D43" s="44" t="str">
        <f t="array" ref="D43">IF('제출현황'!A81="","",IFERROR(INDEX('제출현황'!$F$78:$F$101,MATCH('제출현황'!A81&amp;"|"&amp;"P4-3",'제출현황'!$J$78:$J$101,0)),""))</f>
        <v/>
      </c>
      <c r="E43" s="46" t="str">
        <f>IF('제출현황'!A81="","",COUNTIF('제출현황'!F81:F83,"제출완료"))</f>
        <v/>
      </c>
      <c r="F43" s="47" t="str">
        <f>IF('제출현황'!A81="","",COUNTIF('제출현황'!F81:F83,"제출완료")/3)</f>
        <v/>
      </c>
    </row>
    <row r="44" ht="15.75" customHeight="1">
      <c r="A44" s="33" t="str">
        <f>IF('제출현황'!A84="","",'제출현황'!A84)</f>
        <v/>
      </c>
      <c r="B44" s="44" t="str">
        <f t="array" ref="B44">IF('제출현황'!A84="","",IFERROR(INDEX('제출현황'!$F$78:$F$101,MATCH('제출현황'!A84&amp;"|"&amp;"P4-1",'제출현황'!$J$78:$J$101,0)),""))</f>
        <v/>
      </c>
      <c r="C44" s="44" t="str">
        <f t="array" ref="C44">IF('제출현황'!A84="","",IFERROR(INDEX('제출현황'!$F$78:$F$101,MATCH('제출현황'!A84&amp;"|"&amp;"P4-2",'제출현황'!$J$78:$J$101,0)),""))</f>
        <v/>
      </c>
      <c r="D44" s="44" t="str">
        <f t="array" ref="D44">IF('제출현황'!A84="","",IFERROR(INDEX('제출현황'!$F$78:$F$101,MATCH('제출현황'!A84&amp;"|"&amp;"P4-3",'제출현황'!$J$78:$J$101,0)),""))</f>
        <v/>
      </c>
      <c r="E44" s="46" t="str">
        <f>IF('제출현황'!A84="","",COUNTIF('제출현황'!F84:F86,"제출완료"))</f>
        <v/>
      </c>
      <c r="F44" s="47" t="str">
        <f>IF('제출현황'!A84="","",COUNTIF('제출현황'!F84:F86,"제출완료")/3)</f>
        <v/>
      </c>
    </row>
    <row r="45" ht="15.75" customHeight="1">
      <c r="A45" s="33" t="str">
        <f>IF('제출현황'!A87="","",'제출현황'!A87)</f>
        <v/>
      </c>
      <c r="B45" s="44" t="str">
        <f t="array" ref="B45">IF('제출현황'!A87="","",IFERROR(INDEX('제출현황'!$F$78:$F$101,MATCH('제출현황'!A87&amp;"|"&amp;"P4-1",'제출현황'!$J$78:$J$101,0)),""))</f>
        <v/>
      </c>
      <c r="C45" s="44" t="str">
        <f t="array" ref="C45">IF('제출현황'!A87="","",IFERROR(INDEX('제출현황'!$F$78:$F$101,MATCH('제출현황'!A87&amp;"|"&amp;"P4-2",'제출현황'!$J$78:$J$101,0)),""))</f>
        <v/>
      </c>
      <c r="D45" s="44" t="str">
        <f t="array" ref="D45">IF('제출현황'!A87="","",IFERROR(INDEX('제출현황'!$F$78:$F$101,MATCH('제출현황'!A87&amp;"|"&amp;"P4-3",'제출현황'!$J$78:$J$101,0)),""))</f>
        <v/>
      </c>
      <c r="E45" s="46" t="str">
        <f>IF('제출현황'!A87="","",COUNTIF('제출현황'!F87:F89,"제출완료"))</f>
        <v/>
      </c>
      <c r="F45" s="47" t="str">
        <f>IF('제출현황'!A87="","",COUNTIF('제출현황'!F87:F89,"제출완료")/3)</f>
        <v/>
      </c>
    </row>
    <row r="46" ht="15.75" customHeight="1">
      <c r="A46" s="33" t="str">
        <f>IF('제출현황'!A90="","",'제출현황'!A90)</f>
        <v/>
      </c>
      <c r="B46" s="44" t="str">
        <f t="array" ref="B46">IF('제출현황'!A90="","",IFERROR(INDEX('제출현황'!$F$78:$F$101,MATCH('제출현황'!A90&amp;"|"&amp;"P4-1",'제출현황'!$J$78:$J$101,0)),""))</f>
        <v/>
      </c>
      <c r="C46" s="44" t="str">
        <f t="array" ref="C46">IF('제출현황'!A90="","",IFERROR(INDEX('제출현황'!$F$78:$F$101,MATCH('제출현황'!A90&amp;"|"&amp;"P4-2",'제출현황'!$J$78:$J$101,0)),""))</f>
        <v/>
      </c>
      <c r="D46" s="44" t="str">
        <f t="array" ref="D46">IF('제출현황'!A90="","",IFERROR(INDEX('제출현황'!$F$78:$F$101,MATCH('제출현황'!A90&amp;"|"&amp;"P4-3",'제출현황'!$J$78:$J$101,0)),""))</f>
        <v/>
      </c>
      <c r="E46" s="46" t="str">
        <f>IF('제출현황'!A90="","",COUNTIF('제출현황'!F90:F92,"제출완료"))</f>
        <v/>
      </c>
      <c r="F46" s="47" t="str">
        <f>IF('제출현황'!A90="","",COUNTIF('제출현황'!F90:F92,"제출완료")/3)</f>
        <v/>
      </c>
    </row>
    <row r="47" ht="15.75" customHeight="1">
      <c r="A47" s="33" t="str">
        <f>IF('제출현황'!A93="","",'제출현황'!A93)</f>
        <v/>
      </c>
      <c r="B47" s="44" t="str">
        <f t="array" ref="B47">IF('제출현황'!A93="","",IFERROR(INDEX('제출현황'!$F$78:$F$101,MATCH('제출현황'!A93&amp;"|"&amp;"P4-1",'제출현황'!$J$78:$J$101,0)),""))</f>
        <v/>
      </c>
      <c r="C47" s="44" t="str">
        <f t="array" ref="C47">IF('제출현황'!A93="","",IFERROR(INDEX('제출현황'!$F$78:$F$101,MATCH('제출현황'!A93&amp;"|"&amp;"P4-2",'제출현황'!$J$78:$J$101,0)),""))</f>
        <v/>
      </c>
      <c r="D47" s="44" t="str">
        <f t="array" ref="D47">IF('제출현황'!A93="","",IFERROR(INDEX('제출현황'!$F$78:$F$101,MATCH('제출현황'!A93&amp;"|"&amp;"P4-3",'제출현황'!$J$78:$J$101,0)),""))</f>
        <v/>
      </c>
      <c r="E47" s="46" t="str">
        <f>IF('제출현황'!A93="","",COUNTIF('제출현황'!F93:F95,"제출완료"))</f>
        <v/>
      </c>
      <c r="F47" s="47" t="str">
        <f>IF('제출현황'!A93="","",COUNTIF('제출현황'!F93:F95,"제출완료")/3)</f>
        <v/>
      </c>
    </row>
    <row r="48" ht="15.75" customHeight="1">
      <c r="A48" s="33" t="str">
        <f>IF('제출현황'!A96="","",'제출현황'!A96)</f>
        <v/>
      </c>
      <c r="B48" s="44" t="str">
        <f t="array" ref="B48">IF('제출현황'!A96="","",IFERROR(INDEX('제출현황'!$F$78:$F$101,MATCH('제출현황'!A96&amp;"|"&amp;"P4-1",'제출현황'!$J$78:$J$101,0)),""))</f>
        <v/>
      </c>
      <c r="C48" s="44" t="str">
        <f t="array" ref="C48">IF('제출현황'!A96="","",IFERROR(INDEX('제출현황'!$F$78:$F$101,MATCH('제출현황'!A96&amp;"|"&amp;"P4-2",'제출현황'!$J$78:$J$101,0)),""))</f>
        <v/>
      </c>
      <c r="D48" s="44" t="str">
        <f t="array" ref="D48">IF('제출현황'!A96="","",IFERROR(INDEX('제출현황'!$F$78:$F$101,MATCH('제출현황'!A96&amp;"|"&amp;"P4-3",'제출현황'!$J$78:$J$101,0)),""))</f>
        <v/>
      </c>
      <c r="E48" s="46" t="str">
        <f>IF('제출현황'!A96="","",COUNTIF('제출현황'!F96:F98,"제출완료"))</f>
        <v/>
      </c>
      <c r="F48" s="47" t="str">
        <f>IF('제출현황'!A96="","",COUNTIF('제출현황'!F96:F98,"제출완료")/3)</f>
        <v/>
      </c>
    </row>
    <row r="49" ht="15.75" customHeight="1">
      <c r="A49" s="33" t="str">
        <f>IF('제출현황'!A99="","",'제출현황'!A99)</f>
        <v/>
      </c>
      <c r="B49" s="44" t="str">
        <f t="array" ref="B49">IF('제출현황'!A99="","",IFERROR(INDEX('제출현황'!$F$78:$F$101,MATCH('제출현황'!A99&amp;"|"&amp;"P4-1",'제출현황'!$J$78:$J$101,0)),""))</f>
        <v/>
      </c>
      <c r="C49" s="44" t="str">
        <f t="array" ref="C49">IF('제출현황'!A99="","",IFERROR(INDEX('제출현황'!$F$78:$F$101,MATCH('제출현황'!A99&amp;"|"&amp;"P4-2",'제출현황'!$J$78:$J$101,0)),""))</f>
        <v/>
      </c>
      <c r="D49" s="44" t="str">
        <f t="array" ref="D49">IF('제출현황'!A99="","",IFERROR(INDEX('제출현황'!$F$78:$F$101,MATCH('제출현황'!A99&amp;"|"&amp;"P4-3",'제출현황'!$J$78:$J$101,0)),""))</f>
        <v/>
      </c>
      <c r="E49" s="46" t="str">
        <f>IF('제출현황'!A99="","",COUNTIF('제출현황'!F99:F101,"제출완료"))</f>
        <v/>
      </c>
      <c r="F49" s="47" t="str">
        <f>IF('제출현황'!A99="","",COUNTIF('제출현황'!F99:F101,"제출완료")/3)</f>
        <v/>
      </c>
    </row>
    <row r="50" ht="15.75" customHeight="1">
      <c r="A50" s="49" t="s">
        <v>241</v>
      </c>
      <c r="B50" s="50">
        <f>COUNTIFS('제출현황'!$C$78:$C$101,"P4-1",'제출현황'!$F$78:$F$101,"제출완료")</f>
        <v>0</v>
      </c>
      <c r="C50" s="50">
        <f>COUNTIFS('제출현황'!$C$78:$C$101,"P4-2",'제출현황'!$F$78:$F$101,"제출완료")</f>
        <v>0</v>
      </c>
      <c r="D50" s="50">
        <f>COUNTIFS('제출현황'!$C$78:$C$101,"P4-3",'제출현황'!$F$78:$F$101,"제출완료")</f>
        <v>0</v>
      </c>
      <c r="E50" s="50">
        <f>COUNTIF('제출현황'!F78:F101,"제출완료")</f>
        <v>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G4"/>
    <mergeCell ref="A16:E16"/>
    <mergeCell ref="A28:F28"/>
    <mergeCell ref="A40:F40"/>
  </mergeCells>
  <conditionalFormatting sqref="B6:C13">
    <cfRule type="cellIs" dxfId="5" priority="1" operator="equal">
      <formula>"제출완료"</formula>
    </cfRule>
  </conditionalFormatting>
  <conditionalFormatting sqref="B6:C13">
    <cfRule type="cellIs" dxfId="6" priority="2" operator="equal">
      <formula>"재제출"</formula>
    </cfRule>
  </conditionalFormatting>
  <conditionalFormatting sqref="B6:C13">
    <cfRule type="cellIs" dxfId="7" priority="3" operator="equal">
      <formula>"미제출"</formula>
    </cfRule>
  </conditionalFormatting>
  <conditionalFormatting sqref="B18:C25">
    <cfRule type="cellIs" dxfId="5" priority="4" operator="equal">
      <formula>"제출완료"</formula>
    </cfRule>
  </conditionalFormatting>
  <conditionalFormatting sqref="B18:C25">
    <cfRule type="cellIs" dxfId="6" priority="5" operator="equal">
      <formula>"재제출"</formula>
    </cfRule>
  </conditionalFormatting>
  <conditionalFormatting sqref="B18:C25">
    <cfRule type="cellIs" dxfId="7" priority="6" operator="equal">
      <formula>"미제출"</formula>
    </cfRule>
  </conditionalFormatting>
  <conditionalFormatting sqref="B30:D37">
    <cfRule type="cellIs" dxfId="5" priority="7" operator="equal">
      <formula>"제출완료"</formula>
    </cfRule>
  </conditionalFormatting>
  <conditionalFormatting sqref="B30:D37">
    <cfRule type="cellIs" dxfId="6" priority="8" operator="equal">
      <formula>"재제출"</formula>
    </cfRule>
  </conditionalFormatting>
  <conditionalFormatting sqref="B30:D37">
    <cfRule type="cellIs" dxfId="7" priority="9" operator="equal">
      <formula>"미제출"</formula>
    </cfRule>
  </conditionalFormatting>
  <printOptions/>
  <pageMargins bottom="1.0" footer="0.0" header="0.0" left="0.75" right="0.75" top="1.0"/>
  <pageSetup paperSize="9" orientation="portrait"/>
  <drawing r:id="rId1"/>
</worksheet>
</file>